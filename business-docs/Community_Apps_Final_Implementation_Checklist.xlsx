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jja\Documents\Codex\2026-08-10\this-chat-is-for-community-events\sdk51-package-backup\business-docs\"/>
    </mc:Choice>
  </mc:AlternateContent>
  <xr:revisionPtr revIDLastSave="0" documentId="8_{4089FEFF-CA0D-4211-BF11-33B67EC66B18}" xr6:coauthVersionLast="47" xr6:coauthVersionMax="47" xr10:uidLastSave="{00000000-0000-0000-0000-000000000000}"/>
  <bookViews>
    <workbookView xWindow="780" yWindow="780" windowWidth="21600" windowHeight="11055" activeTab="1" xr2:uid="{7207727F-881A-410D-86CB-BA81085504FD}"/>
  </bookViews>
  <sheets>
    <sheet name="Sources and Rules" sheetId="3" r:id="rId1"/>
    <sheet name="Dashboard" sheetId="2" r:id="rId2"/>
    <sheet name="Implementation Checklist" sheetId="1" r:id="rId3"/>
  </sheets>
  <definedNames>
    <definedName name="_xlnm._FilterDatabase" localSheetId="2" hidden="1">'Implementation Checklist'!$A$1:$N$89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 l="1"/>
  <c r="E7" i="2"/>
  <c r="E6" i="2"/>
  <c r="B12" i="2"/>
  <c r="B11" i="2"/>
  <c r="B10" i="2"/>
  <c r="B9" i="2"/>
  <c r="B8" i="2"/>
  <c r="B7" i="2"/>
  <c r="B6" i="2"/>
</calcChain>
</file>

<file path=xl/sharedStrings.xml><?xml version="1.0" encoding="utf-8"?>
<sst xmlns="http://schemas.openxmlformats.org/spreadsheetml/2006/main" count="1270" uniqueCount="432">
  <si>
    <t>ID</t>
  </si>
  <si>
    <t>Batch</t>
  </si>
  <si>
    <t>Module</t>
  </si>
  <si>
    <t>Requirement</t>
  </si>
  <si>
    <t>Acceptance Criteria</t>
  </si>
  <si>
    <t>Priority</t>
  </si>
  <si>
    <t>Implementation Status</t>
  </si>
  <si>
    <t>Implementation Required</t>
  </si>
  <si>
    <t>Source Evidence / Files</t>
  </si>
  <si>
    <t>Static Verification</t>
  </si>
  <si>
    <t>S22 Device Test</t>
  </si>
  <si>
    <t>User Acceptance</t>
  </si>
  <si>
    <t>Target Build</t>
  </si>
  <si>
    <t>Notes</t>
  </si>
  <si>
    <t>PWA-01</t>
  </si>
  <si>
    <t>Original APK comments</t>
  </si>
  <si>
    <t>Events - Event Drawer</t>
  </si>
  <si>
    <t>Event drawer closes by swipe-down and Close</t>
  </si>
  <si>
    <t>Requirement must work reliably in the installed Android app and match the corresponding PWA terminology and behaviour. Original implementation note: Swipe capture works across the drawer only when content is at the top; scrolling wins once content is scrolled</t>
  </si>
  <si>
    <t>P0</t>
  </si>
  <si>
    <t>Source Complete - Device Pending</t>
  </si>
  <si>
    <t>Yes</t>
  </si>
  <si>
    <t>Swipe capture works across the drawer only when content is at the top; scrolling wins once content is scrolled</t>
  </si>
  <si>
    <t>Passed</t>
  </si>
  <si>
    <t>Pending</t>
  </si>
  <si>
    <t>Next tester build</t>
  </si>
  <si>
    <t>Previous device result: Pending next APK</t>
  </si>
  <si>
    <t>PWA-02</t>
  </si>
  <si>
    <t>Compact PWA-like expanded event drawer</t>
  </si>
  <si>
    <t>Requirement must work reliably in the installed Android app and match the corresponding PWA terminology and behaviour. Original implementation note: 88% maximum drawer, compact poster, icon/color actions</t>
  </si>
  <si>
    <t>P1</t>
  </si>
  <si>
    <t>88% maximum drawer, compact poster, icon/color actions</t>
  </si>
  <si>
    <t>PWA-03</t>
  </si>
  <si>
    <t>Actions directly below event title</t>
  </si>
  <si>
    <t>Requirement must work reliably in the installed Android app and match the corresponding PWA terminology and behaviour. Original implementation note: Implemented</t>
  </si>
  <si>
    <t>P2</t>
  </si>
  <si>
    <t>Implemented</t>
  </si>
  <si>
    <t>PWA-04</t>
  </si>
  <si>
    <t>Events - Poster</t>
  </si>
  <si>
    <t>Poster opens full-screen and tap closes</t>
  </si>
  <si>
    <t>PWA-05</t>
  </si>
  <si>
    <t>Events - Sharing</t>
  </si>
  <si>
    <t>Full PWA event share message</t>
  </si>
  <si>
    <t>Requirement must work reliably in the installed Android app and match the corresponding PWA terminology and behaviour. Original implementation note: Native message mirrors PWA fields and store link block</t>
  </si>
  <si>
    <t>Native message mirrors PWA fields and store link block</t>
  </si>
  <si>
    <t>PWA-06</t>
  </si>
  <si>
    <t>Poster, text-only, and copy share choices</t>
  </si>
  <si>
    <t>Requirement must work reliably in the installed Android app and match the corresponding PWA terminology and behaviour. Original implementation note: Implemented; poster is downloaded to cache and shared as a native image file with text</t>
  </si>
  <si>
    <t>Implemented; poster is downloaded to cache and shared as a native image file with text</t>
  </si>
  <si>
    <t>PWA-07</t>
  </si>
  <si>
    <t>Shared - Inbox</t>
  </si>
  <si>
    <t>Inbox must not close app</t>
  </si>
  <si>
    <t>Requirement must work reliably in the installed Android app and match the corresponding PWA terminology and behaviour. Original implementation note: Native Firebase messaging listeners and guarded empty/error states implemented</t>
  </si>
  <si>
    <t>Native Firebase messaging listeners and guarded empty/error states implemented</t>
  </si>
  <si>
    <t>PWA-08</t>
  </si>
  <si>
    <t>Events - Home Feed</t>
  </si>
  <si>
    <t>Posters visible on all signed-in Home events</t>
  </si>
  <si>
    <t>Requirement must work reliably in the installed Android app and match the corresponding PWA terminology and behaviour. Original implementation note: Fixed signed-in feed to load full Firestore events, matching PWA; guest feed remains privacy-sanitized</t>
  </si>
  <si>
    <t>Fixed signed-in feed to load full Firestore events, matching PWA; guest feed remains privacy-sanitized</t>
  </si>
  <si>
    <t>PWA-09</t>
  </si>
  <si>
    <t>Shared - Selectors</t>
  </si>
  <si>
    <t>Compact selectors</t>
  </si>
  <si>
    <t>Requirement must work reliably in the installed Android app and match the corresponding PWA terminology and behaviour. Original implementation note: Shared bottom-sheet selector used for cities, form choices, recurring frequency, and Home filters</t>
  </si>
  <si>
    <t>Shared bottom-sheet selector used for cities, form choices, recurring frequency, and Home filters</t>
  </si>
  <si>
    <t>PWA-10</t>
  </si>
  <si>
    <t>Shared - Location</t>
  </si>
  <si>
    <t>Current-location city selection</t>
  </si>
  <si>
    <t>Requirement must work reliably in the installed Android app and match the corresponding PWA terminology and behaviour. Original implementation note: Implemented on Home and default-city editor with permission/error handling</t>
  </si>
  <si>
    <t>Implemented on Home and default-city editor with permission/error handling</t>
  </si>
  <si>
    <t>PWA-11</t>
  </si>
  <si>
    <t>Events - Navigation</t>
  </si>
  <si>
    <t>Streamed Videos and Bulk Share in hamburger only</t>
  </si>
  <si>
    <t>Requirement must work reliably in the installed Android app and match the corresponding PWA terminology and behaviour. Original implementation note: Implemented in PWA menu groups</t>
  </si>
  <si>
    <t>Implemented in PWA menu groups</t>
  </si>
  <si>
    <t>PWA-12</t>
  </si>
  <si>
    <t>Events - Maps</t>
  </si>
  <si>
    <t>Working map, current location, distance</t>
  </si>
  <si>
    <t>Requirement must work reliably in the installed Android app and match the corresponding PWA terminology and behaviour. Original implementation note: Full signed-in coordinates, markers, current location, distance, fit markers, loading/error/retry states implemented. Google key restriction corrected to the verified EAS APK SHA-1 (`BD:5C:F4:E7:FB:8E:03:AD:94:BC:18:6F:B3:04:9D:40:13:2F:D0:41`)</t>
  </si>
  <si>
    <t>Full signed-in coordinates, markers, current location, distance, fit markers, loading/error/retry states implemented. Google key restriction corrected to the verified EAS APK SHA-1 (`BD:5C:F4:E7:FB:8E:03:AD:94:BC:18:6F:B3:04:9D:40:13:2F:D0:41`)</t>
  </si>
  <si>
    <t>PWA-13</t>
  </si>
  <si>
    <t>Compact map time control</t>
  </si>
  <si>
    <t>Requirement must work reliably in the installed Android app and match the corresponding PWA terminology and behaviour. Original implementation note: PWA labels in one segmented bar</t>
  </si>
  <si>
    <t>PWA labels in one segmented bar</t>
  </si>
  <si>
    <t>PWA-14</t>
  </si>
  <si>
    <t>Shared - Safe Area</t>
  </si>
  <si>
    <t>Respect camera notch/cutout</t>
  </si>
  <si>
    <t>Requirement must work reliably in the installed Android app and match the corresponding PWA terminology and behaviour. Original implementation note: Status-bar-aware header and safe-area modal layout</t>
  </si>
  <si>
    <t>Status-bar-aware header and safe-area modal layout</t>
  </si>
  <si>
    <t>Previous device result: Verified previously; recheck next APK</t>
  </si>
  <si>
    <t>PWA-15</t>
  </si>
  <si>
    <t>Events - Live Data</t>
  </si>
  <si>
    <t>No refresh button; automatic updates</t>
  </si>
  <si>
    <t>Requirement must work reliably in the installed Android app and match the corresponding PWA terminology and behaviour. Original implementation note: Pull-to-refresh removed; signed-in feed uses live Firestore listeners; guest feed refreshes silently and on foreground</t>
  </si>
  <si>
    <t>Pull-to-refresh removed; signed-in feed uses live Firestore listeners; guest feed refreshes silently and on foreground</t>
  </si>
  <si>
    <t>PWA-16</t>
  </si>
  <si>
    <t>Shared - Profile</t>
  </si>
  <si>
    <t>Simplified Profile sections</t>
  </si>
  <si>
    <t>Requirement must work reliably in the installed Android app and match the corresponding PWA terminology and behaviour. Original implementation note: My Profile edit/save/delete, Share App, Help &amp; Policies, About</t>
  </si>
  <si>
    <t>My Profile edit/save/delete, Share App, Help &amp; Policies, About</t>
  </si>
  <si>
    <t>PWA-17</t>
  </si>
  <si>
    <t>Shared - Navigation</t>
  </si>
  <si>
    <t>Hamburger icons</t>
  </si>
  <si>
    <t>Requirement must work reliably in the installed Android app and match the corresponding PWA terminology and behaviour. Original implementation note: Matches PWA menu labels/icons</t>
  </si>
  <si>
    <t>Matches PWA menu labels/icons</t>
  </si>
  <si>
    <t>PWA-18</t>
  </si>
  <si>
    <t>Same hamburger groups as PWA</t>
  </si>
  <si>
    <t>Requirement must work reliably in the installed Android app and match the corresponding PWA terminology and behaviour. Original implementation note: Calendar; Inbox &amp; Feedback; Admin &amp; Profile; Share &amp; Search; Streamed Videos</t>
  </si>
  <si>
    <t>Calendar; Inbox &amp; Feedback; Admin &amp; Profile; Share &amp; Search; Streamed Videos</t>
  </si>
  <si>
    <t>PWA-19</t>
  </si>
  <si>
    <t>Shared - Visual Design</t>
  </si>
  <si>
    <t>Modern visual treatment</t>
  </si>
  <si>
    <t>Requirement must work reliably in the installed Android app and match the corresponding PWA terminology and behaviour. Original implementation note: Cards, sheets, segmented controls, bottom-sheet selectors, colored actions and consistent typography weights implemented</t>
  </si>
  <si>
    <t>Cards, sheets, segmented controls, bottom-sheet selectors, colored actions and consistent typography weights implemented</t>
  </si>
  <si>
    <t>Previous device result: Ongoing polish after functional test</t>
  </si>
  <si>
    <t>PWA-20</t>
  </si>
  <si>
    <t>Events - Add Event</t>
  </si>
  <si>
    <t>Visual Single/Recurring event choice</t>
  </si>
  <si>
    <t>Requirement must work reliably in the installed Android app and match the corresponding PWA terminology and behaviour. Original implementation note: Icon-led choice cards implemented</t>
  </si>
  <si>
    <t>Icon-led choice cards implemented</t>
  </si>
  <si>
    <t>R-001</t>
  </si>
  <si>
    <t>Detailed review register</t>
  </si>
  <si>
    <t>Shared - Profile &amp; Notifications</t>
  </si>
  <si>
    <t>Notification controls are incomplete</t>
  </si>
  <si>
    <t>Profile and Settings do not provide the required notification-channel controls. The later rectification should provide clearly labelled controls for:
â€¢ Push notifications on the phone
â€¢ SMS notifications
â€¢ Email notifications
The final notification events and sensible defaults should be defined before implementation.</t>
  </si>
  <si>
    <t>src/components/ProfileScreen.js; src/services/reminders.js; src/services/users.js</t>
  </si>
  <si>
    <t>Status is intentionally conservative until source verification and S22 acceptance are recorded.</t>
  </si>
  <si>
    <t>R-002</t>
  </si>
  <si>
    <t>Business Directory - Categories</t>
  </si>
  <si>
    <t>Business organisation affiliation is irrelevant</t>
  </si>
  <si>
    <t>A registered business has no affiliation with an organisation. Remove organisation affiliation from the complete Business Directory workflow, including:
â€¢ Business registration and editing
â€¢ Required-field validation
â€¢ Stored business payloads for new records
â€¢ Business cards and business details
â€¢ Search, filters and badges
â€¢ Owner and administrator views
Existing test records containing affiliation data can retain it during migration, but the field should no longer be displayed or used.</t>
  </si>
  <si>
    <t>Initial code audit completed; exact files must be recorded before final acceptance.</t>
  </si>
  <si>
    <t>R-003</t>
  </si>
  <si>
    <t>Missing business categories</t>
  </si>
  <si>
    <t>Add these top-level categories:
â€¢ Construction &amp; Builders
â€¢ Technology</t>
  </si>
  <si>
    <t>R-004</t>
  </si>
  <si>
    <t>Categories need subcategories</t>
  </si>
  <si>
    <t>Replace the flat category-only model with a category and subcategory hierarchy. Recommended interaction:
1. Select one primary category.
2. Show a compact second selector containing only that category's subcategories.
3. Allow one or more relevant subcategories, with an Other fallback.
4. Store stable IDs as well as display labels.
5. Allow directory search and filtering at both category and subcategory level.
Proposed business category matrix
 Primary category | Proposed subcategories 
 Food &amp; Catering | Restaurants &amp; Cafes; Home Kitchens; Catering; Bakeries &amp; Desserts; Groceries &amp; Specialty Foods; Halal Meat &amp; Butchers; Food Trucks; Beverages; Meal Preparation 
 Events &amp; Celebrations | Event Planning; Venues &amp; Function Centres; Photography &amp; Videography; Decorations &amp; Styling; Florists; Sound, Lighting &amp; AV; Entertainment, DJs &amp; MCs; Invitations, Printing &amp; Signage; Marquee, Furniture &amp; Equipment Hire; Wedding Services 
 Retail &amp; Fashion | Clothing &amp; Fashion; Modest Fashion &amp; Hijab; Tailoring &amp; Alterations; Footwear &amp; Accessories; Jewellery &amp; Watches; Beauty, Cosmetics &amp; Fragrances; Gifts &amp; Homewares; Books &amp; Religious Goods; General Retail; Online Stores 
 Professional Services | Accounting, Bookkeeping &amp; Tax; Legal Services; Finance &amp; Mortgage Brokers; Insurance; Real Estate; Business Consulting; Marketing &amp; Branding; Human Resources &amp; Recruitment; Translation &amp; Interpreting; Administration &amp; Virtual Assistance 
 Health &amp; Wellness | General Practice &amp; Medical; Dental; Pharmacy; Physiotherapy &amp; Rehabilitation; Psychology &amp; Counselling; Optometry; Nutrition &amp; Dietetics; Fitness &amp; Personal Training; Allied Health; Aged, Disability &amp; Home Care; Personal Care &amp; Grooming 
 Education | Early Childhood &amp; Childcare; Primary &amp; Secondary Tutoring; Quran &amp; Islamic Education; Languages; Vocational &amp; Trade Training; University &amp; Higher Education Support; Music &amp; Arts; Driving Schools; Online Courses; Special Learning Support 
 Home Services | Cleaning; Gardening &amp; Lawn Care; Pest Control; Handyman &amp; Minor Repairs; Appliance Repair; Locksmiths &amp; Security; Removalists &amp; Storage; Property Maintenance; Pool Services; Home Organisation 
 Automotive | Mechanical Repairs &amp; Servicing; Tyres &amp; Wheels; Auto Electrical; Panel Beating &amp; Paint; Car Wash &amp; Detailing; Roadside Assistance &amp; Towing; Parts &amp; Accessories; Vehicle Sales; Vehicle Rental; Inspections; Motorcycles 
 Construction &amp; Builders | Residential Builders; Commercial Builders; Renovations &amp; Extensions; Architects &amp; Building Designers; Engineering &amp; Surveying; Project Management; Carpentry &amp; Joinery; Plumbing, Electrical &amp; HVAC; Roofing &amp; Gutters; Concreting, Bricklaying &amp; Masonry; Tiling, Flooring, Painting &amp; Plastering; Demolition, Excavation &amp; Waterproofing 
 Technology | IT Support &amp; Managed Services; Software &amp; App Development; Website &amp; E-commerce Development; Cybersecurity; Cloud, Networking &amp; Infrastructure; Data, AI &amp; Automation; Telecommunications; Computers, Devices &amp; Repairs; Business Systems &amp; Point of Sale; CCTV, Security &amp; Smart Home; Technology Consulting &amp; Training 
Classification rule for overlapping services
â€¢ Use Construction &amp; Builders for new construction, renovation projects and project-based building trades.
â€¢ Use Home Services for recurring maintenance, household support and minor repairs.
â€¢ A business chooses one primary category and may select multiple subcategories within it. Cross-category support can be considered later if real listings demonstrate a need.</t>
  </si>
  <si>
    <t>R-005</t>
  </si>
  <si>
    <t>Business category matrix approved</t>
  </si>
  <si>
    <t>The proposed categories and subcategories in this review register are approved for later implementation.</t>
  </si>
  <si>
    <t>Complete (Non-Code)</t>
  </si>
  <si>
    <t>No</t>
  </si>
  <si>
    <t>N/A</t>
  </si>
  <si>
    <t>R-006</t>
  </si>
  <si>
    <t>Event drawer swipe and close animation remain defective</t>
  </si>
  <si>
    <t>â€¢ Swipe down to close the expanded Event Card drawer is still not working.
â€¢ In the latest APK, pressing close briefly shows the Event Card drawer again before it disappears.
â€¢ Later rectification must fix both gesture handling and the close-animation/state sequencing so the drawer closes once, smoothly, without flashing or reopening.</t>
  </si>
  <si>
    <t>src/components/EventDetailsModal.js; src/components/EventCard.js</t>
  </si>
  <si>
    <t>R-007</t>
  </si>
  <si>
    <t>Add Event date needs a calendar input</t>
  </si>
  <si>
    <t>Replace manually formatted date entry in Add Event with a native-style calendar/date picker. The selected date should be displayed in the app's standard Australian format and stored in the canonical format required by the backend.</t>
  </si>
  <si>
    <t>src/components/CreateEventForm.js; src/components/RecurringEventForm.js; src/components/AddressAutocomplete.js</t>
  </si>
  <si>
    <t>R-008</t>
  </si>
  <si>
    <t>Add Event time needs a selector</t>
  </si>
  <si>
    <t>Replace manually formatted time entry with a compact time picker/dropdown. Apply this consistently to start time, optional end time and recurring-event time fields.</t>
  </si>
  <si>
    <t>R-009</t>
  </si>
  <si>
    <t>Events - Home</t>
  </si>
  <si>
    <t>Compact Home location control</t>
  </si>
  <si>
    <t>Redesign the Home location panel to use a prominent location-marker icon and the selected city abbreviation. It should remain easy to recognise and tap while occupying substantially less screen space.</t>
  </si>
  <si>
    <t>App.js; src/components/HomeFilters.js; src/components/CitySelector.js</t>
  </si>
  <si>
    <t>R-010</t>
  </si>
  <si>
    <t>List/Map sliding toggle beside location control</t>
  </si>
  <si>
    <t>Place a compact List/Map segmented sliding toggle beside the city/location control. The active view should be clearly highlighted and switching views should not disturb the selected city or filters.</t>
  </si>
  <si>
    <t>R-011</t>
  </si>
  <si>
    <t>Live Events button and filter</t>
  </si>
  <si>
    <t>When at least one event is currently live:
â€¢ Show a separate red LIVE button beside the Upcoming Events title.
â€¢ Give the LIVE text a noticeable blinking or pulsing treatment.
â€¢ First press filters the Home results to currently live events.
â€¢ Pressing it again restores all events.
â€¢ Keep the button visible while any event remains live, including while the Live-only filter is inactive.
â€¢ Automatically remove the button and clear the Live-only filter when no events are live.</t>
  </si>
  <si>
    <t>R-012</t>
  </si>
  <si>
    <t>Module-aware hamburger menus</t>
  </si>
  <si>
    <t>The hamburger menu must follow the currently selected module:
â€¢ When Community Events Australia is selected, show only Events-related menu items.
â€¢ When Community Businesses Australia is selected, show only Business Directory-related menu items.
â€¢ Do not show Events-only destinations such as Hijri Calendar or Streamed Videos while the Business Directory is selected.
â€¢ Switching modules should immediately switch the menu structure without changing the user's signed-in session.
The Business Directory hamburger menu should contain:
1. Settings / Business Administration — access to the Business Directory Admin Dashboard, visible only to users with the required Business Directory administrator role.
2. Contact Us — Business Directory contact and support page.
3. Report a Business — a reporting workflow similar to Feedback, prefilled with the selected business when opened from a Business Page.
4. Inbox — conversations and messages relevant to the signed-in user or business owner.
5. Profile &amp; Settings — personal details plus Business Directory-specific preferences, notifications and policy links.</t>
  </si>
  <si>
    <t>src/components/AppHeader.js; App.js</t>
  </si>
  <si>
    <t>R-013</t>
  </si>
  <si>
    <t>Business Directory - Messaging</t>
  </si>
  <si>
    <t>Contact Business and Business Inbox</t>
  </si>
  <si>
    <t>â€¢ Add a Contact Business button to each Business Page.
â€¢ In-app messages sent through this button should be delivered to the inbox of the respective verified business owner or authorised business representative.
â€¢ Keep conversations linked to the business, sender and recipient.
â€¢ The Business Directory Inbox must not mix messages with unrelated Events feedback or administration messages.
â€¢ Later design must include unread state, timestamps, conversation history, reporting/blocking protection and privacy-safe handling of personal contact details.</t>
  </si>
  <si>
    <t>src/business/BusinessInboxScreen.js; src/services/messaging.js</t>
  </si>
  <si>
    <t>R-014</t>
  </si>
  <si>
    <t>Shared - Profile &amp; Authentication</t>
  </si>
  <si>
    <t>Business Directory Profile &amp; Settings</t>
  </si>
  <si>
    <t>The Business Directory Profile &amp; Settings page should include:
â€¢ The same personal-details section pattern used by Community Events.
â€¢ Business Directory-only notification controls and preferences.
â€¢ The user's default opening module, alongside existing preferences such as default city.
â€¢ Access to the applicable Privacy Policy, Terms of Use and related policies.
Events-only notification settings must not be presented as Business Directory settings, although both modules may use the same underlying user account.</t>
  </si>
  <si>
    <t>src/components/AuthLandingScreen.js; src/components/ProfileScreen.js; App.js</t>
  </si>
  <si>
    <t>R-015</t>
  </si>
  <si>
    <t>Shared - Legal &amp; Privacy</t>
  </si>
  <si>
    <t>Consolidated legal documents</t>
  </si>
  <si>
    <t>Use consolidated platform-wide legal documents rather than separate incomplete documents for each module:
â€¢ One Privacy Policy covering Community Events Australia and Community Businesses Australia.
â€¢ One Terms of Use covering both modules, with clearly labelled module-specific sections where necessary.
â€¢ The sign-in consent should apply before the user chooses or opens either module.
â€¢ All policy links in both modules should open the same current consolidated documents.
â€¢ Maintain one version number, effective date and consent record for each consolidated document.
Separate supplementary policies may still be linked where operationally necessary, such as Business Listing Rules, Content Standards, Promotions Terms or Refund Policy, but they should sit under the consolidated platform terms and must not contradict them.</t>
  </si>
  <si>
    <t>R-016</t>
  </si>
  <si>
    <t>Remembered default module at sign-in</t>
  </si>
  <si>
    <t>â€¢ Add an Events / Business Directory segmented toggle to sign-in so the user can choose which module opens after authentication.
â€¢ Remember that selection for future launches and sign-ins.
â€¢ Allow the user to switch modules at any time inside the app using the main module slider.
â€¢ Add a Default module preference to Profile &amp; Settings, similar to Default city.
â€¢ Changing the default affects future app launches; it must not restrict access to the other module.
â€¢ If no preference exists, default to Community Events Australia while still showing both choices.
Pending review entry
The submitted item 4 was blank and remains available for the next review comment.</t>
  </si>
  <si>
    <t>R-017</t>
  </si>
  <si>
    <t>Business Approvals belong only to Business Directory administration</t>
  </si>
  <si>
    <t>This clarifies R-012:
â€¢ Business Approvals must not appear in the Community Events hamburger menu or the Events Admin Dashboard.
â€¢ Business Approvals and every Business Directory-specific administration tool must be accessible only from the Community Businesses Australia hamburger menu through its Business Administration dashboard.
â€¢ Events-specific administration tools must remain in the Community Events Admin Dashboard only.
â€¢ Common destinations may appear in both module menus, but they must open in the selected module's context. For example, Inbox, Contact Us, Profile &amp; Settings and policies should show the correct module-specific messages, preferences and entry points.
â€¢ Do not combine Business and Events administration tools into one visible dashboard, even if they share authentication, user records or backend infrastructure.</t>
  </si>
  <si>
    <t>R-018</t>
  </si>
  <si>
    <t>Business Directory - Registration &amp; Compliance</t>
  </si>
  <si>
    <t>Add Business should open the form directly</t>
  </si>
  <si>
    <t>â€¢ Pressing Add Business in the Business Directory bottom navigation should open the Add Business form directly.
â€¢ Remove the intermediate owner/preview screen from this action.
â€¢ Remove the Add another business function.
â€¢ The intended account flow is one managed business listing rather than repeatedly creating additional listings from this button.
â€¢ When the signed-in user already has a listing, the same area should manage or edit that listing instead of offering another new listing.</t>
  </si>
  <si>
    <t>src/business/BusinessListingForm.js; src/services/businesses.js; backend/firestore.rules</t>
  </si>
  <si>
    <t>R-019</t>
  </si>
  <si>
    <t>Business logo and Business Page rendering defects</t>
  </si>
  <si>
    <t>The screenshots dated 18 August 2026 confirm the following defects:
â€¢ The approved directory result card for SIZA Apps shows the initials fallback SA instead of the uploaded business logo.
â€¢ The Business Page hero/logo area is cropped and positioned incorrectly at the top of the screen.
â€¢ Action icons are rendering as raw escape text, including \\u260E, \\u2709, \\u27A4 and \\u21E7, rather than visible Call, WhatsApp, Directions and Share icons.
â€¢ Information-row icons are also rendering as raw escape text and wrapping over multiple lines.
â€¢ The obsolete Independent / Unaffiliated badge is still displayed; remove it as already required by R-002.
â€¢ The page needs a full layout review for safe-area/header positioning, image scaling, icon rendering, spacing and bottom-content visibility.
Later rectification must use the uploaded logo consistently on directory cards and the Business Page, retain a clean fallback only when no valid logo exists, and use the app's supported icon component rather than escaped text literals.</t>
  </si>
  <si>
    <t>R-020</t>
  </si>
  <si>
    <t>Standard fallback logo and cover image</t>
  </si>
  <si>
    <t>Provide bundled standard artwork for businesses that do not upload imagery:
â€¢ A square, neutral Community Businesses Australia storefront logo placeholder.
â€¢ A wide, neutral Business Directory cover/background image.
â€¢ Use the fallback not only when an image URL is empty, but also when a remote image fails to load.
â€¢ Use the same fallback rules on directory cards, search results, owner/admin screens, Business Pages, promotions and sharing previews.
â€¢ Keep the artwork category-neutral, text-light and compatible with light/dark overlays so it cannot be mistaken for the individual business's own branding.
â€¢ Preserve uploaded logo and cover images separately; do not stretch a square logo into a wide cover area.
Standard source assets should be high resolution, with app-generated size variants for card thumbnails and Business Page display.</t>
  </si>
  <si>
    <t>R-021</t>
  </si>
  <si>
    <t>Strategy for providers without a valid ABN</t>
  </si>
  <si>
    <t>The current build requires a valid ABN checksum and administrator ABR confirmation before approval, so a no-ABN listing is currently not possible.
Recommended policy
Allow selected providers to list without an ABN, but do not display an invalid number or describe it as an Unverified ABN. Use an explicit public status such as:
â€¢ ABN verified — an active ABN has been checked and its entity/business name matches the listing.
â€¢ Identity checked · ABN not provided — the owner and contact details have passed the platform's alternative review, but the platform has not verified an ABN.
â€¢ ABN pending — application is in progress; normally keep the listing private until it moves to one of the two publishable states above.
An entered ABN that is invalid, cancelled or belongs to a different entity must be corrected or removed. It must not automatically become a no-ABN listing.
Registration workflow
1. Ask Do you have an ABN? with Yes, Application pending, and No / not required choices.
2. If Yes, retain ABR validation and name matching.
3. If pending, collect no sensitive ABN application reference; save a private draft and remind the owner to add the active ABN later.
4. If No, ask for the reason and show official guidance explaining that most businesses need an ABN, although it is not compulsory for every activity.
5. Require verified mobile number, verified email, legal name, service address/area, declaration of authority, and evidence appropriate to the service.
6. Have an administrator manually approve or request changes.
7. Allow an owner to add an ABN later, triggering re-review and an upgrade to ABN verified.
Restrictions for no-ABN listings
â€¢ Basic/free listing only.
â€¢ No Verified Business, ABN-verified, featured or founding-member badge.
â€¢ No paid promotions or boosted placement until an active ABN is verified.
â€¢ Clearly display ABN not provided on the Business Page.
â€¢ Periodic re-verification of identity and contact details.
â€¢ Immediate review following credible reports, failed contact verification or misleading claims.
Regulated or higher-risk services
ABN verification alone does not prove professional licensing. Any subcategory requiring a licence, registration, permit or insurance must have category/jurisdiction-specific evidence. For higher-risk services—such as regulated building trades, health, childcare, legal, financial and other licensed activities—require an active ABN plus the applicable licence/registration before public listing. Do not permit the alternative no-ABN route for those regulated subcategories.
Data and privacy safeguard
Avoid storing raw identity-document images in the normal business record. Use a dedicated identity-verification provider later, or a tightly controlled manual process with minimum retention, restricted administrator access and documented deletion periods. Store the verification result and audit trail rather than exposing identity documents to ordinary app administration.
This strategy is proposed for product approval and legal/privacy review before implementation.</t>
  </si>
  <si>
    <t>R-022</t>
  </si>
  <si>
    <t>Category compliance matrix prepared for review</t>
  </si>
  <si>
    <t>A separate Excel review workbook has been prepared for the approved 10 categories and 104 subcategories:
business-docs/Community_Businesses_Category_Compliance_Matrix_2026-08-18_Draft.xlsx
It records the proposed risk level, ABN policy, identity-verification level, licence/registration review, no-ABN publication rule, minimum evidence, official verification sources, public badge and review decision for every subcategory. The workbook is a product-policy draft rather than legal advice; jurisdiction-specific requirements must be confirmed before implementation.
Review batch received 19 August 2026</t>
  </si>
  <si>
    <t>R-023</t>
  </si>
  <si>
    <t>Events - Cards, Calendar &amp; Forms</t>
  </si>
  <si>
    <t>Event Card action permissions by role</t>
  </si>
  <si>
    <t>Show Copy, Edit and Delete actions according to this permission matrix:
 Role | Copy | Edit | Delete | Scope 
 Super Admin | Yes | Yes | Yes | Every event, regardless of city or owner 
 Admin | Yes | Yes | Yes | Every event in the admin's assigned city only 
 Signed-in user | No | Yes | Yes | Events created/owned by that user only 
 Guest | No | No | No | No management actions 
The current APK does not consistently show the actions required by this logic. Apply the same authorisation checks in both UI visibility and backend operations; hiding a button alone is not sufficient security.</t>
  </si>
  <si>
    <t>src/components/EventCard.js; src/components/CalendarScreen.js; src/components/CreateEventForm.js</t>
  </si>
  <si>
    <t>R-024</t>
  </si>
  <si>
    <t>Favourite heart and automatic reminder</t>
  </si>
  <si>
    <t>â€¢ Replace the star favourite icon on Event Cards with a heart, matching the PWA.
â€¢ Favouriting an event should automatically create a reminder for 7:00 pm on the day before the event.
â€¢ Removing an event from favourites should remove the automatically created favourite reminder unless the user has separately customised it.
â€¢ Avoid duplicate reminders when the event is favourited repeatedly or its details change.
â€¢ Respect the user's notification permission and reminder settings.</t>
  </si>
  <si>
    <t>R-025</t>
  </si>
  <si>
    <t>Modern Calendar sync action</t>
  </si>
  <si>
    <t>Redesign Sync to my Calendar on the Calendar page as a prominent modern call-to-action, using a recognisable calendar icon, highlighted colour, clear pressed/loading/success states and suitable accessibility labelling.</t>
  </si>
  <si>
    <t>R-026</t>
  </si>
  <si>
    <t>Alphabetical and city-grouped selectors</t>
  </si>
  <si>
    <t>â€¢ On Add Event, sort organiser options alphabetically by organiser name and group them by city.
â€¢ Sort the city groups alphabetically by full city name.
â€¢ Sort every city/location selector in the app alphabetically by full city name, not by abbreviation or insertion order.
â€¢ Preserve a compact selector with search when the list becomes long.</t>
  </si>
  <si>
    <t>R-027</t>
  </si>
  <si>
    <t>Event poster uploader must match PWA behaviour</t>
  </si>
  <si>
    <t>â€¢ Reproduce the PWA poster-upload area, including its camera icon and explanatory comments.
â€¢ Make the entire grey upload box clickable, not only the icon or text.
â€¢ Tapping anywhere within it should open the native image source/picker popup.
â€¢ Retain file-size/type validation, preview, replace and remove behaviour.</t>
  </si>
  <si>
    <t>R-028</t>
  </si>
  <si>
    <t>Events - Administration &amp; About</t>
  </si>
  <si>
    <t>Add-only Event Type and Reciter administration</t>
  </si>
  <si>
    <t>In Admin Dashboard Settings, add management for the Event Type and Reciter option lists:
â€¢ Authorised administrators may add new items when requested by users.
â€¢ Existing items cannot be deleted.
â€¢ Prevent duplicates using normalised, case-insensitive matching.
â€¢ Newly added values should become available in Add/Edit Event selectors without an app release.
â€¢ Keep an audit record of who added each item and when.</t>
  </si>
  <si>
    <t>R-029</t>
  </si>
  <si>
    <t>Crash Monitoring and Diagnostics module</t>
  </si>
  <si>
    <t>Implement crash monitoring and diagnostics according to:
C:\Users\sajja\OneDrive - SIZA Family\1. Professional\AI Apps\Community Event\Project Documentation\Crash Monitoring and Diagnostic Brief.pdf
The file's existence was confirmed on 19 August 2026. It must be reviewed in full before implementation. User-facing crash capture and administrator diagnostics should feed the Troubleshooting Management area defined below, with appropriate privacy, retention and access controls.</t>
  </si>
  <si>
    <t>R-030</t>
  </si>
  <si>
    <t>About page visual redesign and version status</t>
  </si>
  <si>
    <t>â€¢ Use the supplied SIZA Apps logo from:
  C:\Users\sajja\OneDrive - SIZA Family\1. Professional\AI Apps\Community Event\Images\SIZA_Apps.jpg
â€¢ The logo file's existence was confirmed on 19 August 2026.
â€¢ Match the polished PWA About presentation and improve spacing, typography, colour and branding.
â€¢ Show app version and Android/iOS build number.
â€¢ Compare the installed version against the current supported release and visibly highlight when it is outdated.
â€¢ The version check must fail gracefully when offline and must not falsely label a development/test build as a production update.</t>
  </si>
  <si>
    <t>R-031</t>
  </si>
  <si>
    <t>Hamburger Home behaviour and module switcher</t>
  </si>
  <si>
    <t>â€¢ Remove the separate Business Directory menu item from the hamburger menu.
â€¢ Home should return to the Home page while preserving whichever module is selected in the Events/Business Directory slider.
â€¢ Module switching remains controlled by the main slider rather than duplicate hamburger destinations.</t>
  </si>
  <si>
    <t>R-032</t>
  </si>
  <si>
    <t>Events - Hijri Calendar</t>
  </si>
  <si>
    <t>Hijri prayer-time cards and Prayer Time reminders</t>
  </si>
  <si>
    <t>â€¢ Redesign the prayer-time cards to be smaller, bolder, more visible and visually closer to the PWA.
â€¢ Display: Fajr, Sunrise, Zohrain, Sunset, Maghrebain.
â€¢ Enable Prayer Time reminders by default for Fajr, Zohrain and Maghrebain after notification permission/consent is available.
â€¢ Allow users to turn Prayer Time reminders off in Profile settings.
â€¢ Sunrise and Sunset remain visible but are not default reminder times.
â€¢ Recalculate local times using the user's selected/current city and date.</t>
  </si>
  <si>
    <t>src/components/HijriCalendarScreen.js; src/services/reminders.js; src/utils/prayerLocations.js</t>
  </si>
  <si>
    <t>R-033</t>
  </si>
  <si>
    <t>Rename Important Dates</t>
  </si>
  <si>
    <t>Rename Important Dates to Key Islamic Events throughout the Hijri Calendar UI and related accessibility labels.</t>
  </si>
  <si>
    <t>R-034</t>
  </si>
  <si>
    <t>Hijri Calendar search, type filter and monthly behaviour</t>
  </si>
  <si>
    <t>â€¢ Place a search box below Key Islamic Events.
â€¢ Replace the All/Wiladat/Shahadat/Wafat and similar tile row with an Event type selector.
â€¢ The selector must support compact multi-select.
â€¢ With no search/filter selection, show only the current Hijri month's events and a title such as Events in Safar.
â€¢ Once the user searches or selects one or more event types, remove the monthly title and show the matching filtered results.
â€¢ Empty/clear actions should restore the default current-month view.
â€¢ Modernise the full Hijri Calendar page with suitable colour, iconography, hierarchy and typography; it is currently too plain.</t>
  </si>
  <si>
    <t>R-035</t>
  </si>
  <si>
    <t>Events - Bulk Share</t>
  </si>
  <si>
    <t>Remove Bulk Share back-to-profile button</t>
  </si>
  <si>
    <t>Remove the Back button from Bulk Share Events that returns to Profile. No replacement back button is required on that page; normal app navigation should handle leaving the screen.</t>
  </si>
  <si>
    <t>R-036</t>
  </si>
  <si>
    <t>Events - Admin Dashboard</t>
  </si>
  <si>
    <t>Compact Admin identity panel and fixed-size metrics panel</t>
  </si>
  <si>
    <t>â€¢ Reduce the height of the top administrator identity/name panel to approximately half its current height.
â€¢ Keep the main dashboard metrics panel at its current overall size.
â€¢ Within that unchanged metrics panel, show: Users, Active Events, Registered Organisations, Pending Feedback Responses, Inbox Items, Videos Streamed.
â€¢ Videos Streamed should include public and private streams, with a clear combined count or labelled breakdown.</t>
  </si>
  <si>
    <t>src/components/AdminDashboardScreen.js; src/services/events.js; src/services/eventOptionsAdmin.js; backend/firestore.rules</t>
  </si>
  <si>
    <t>R-037</t>
  </si>
  <si>
    <t>Events Admin Dashboard information architecture</t>
  </si>
  <si>
    <t>The Events Admin Dashboard should contain exactly these top-level areas:
1. User Management
2. Event Management
3. Organisation Management
4. Calendar Settings
5. Community Messaging
6. Troubleshooting Management
7. Tools
Every child page must have a consistent Back action that returns to the main Admin Dashboard. It must not return to Profile or Home.</t>
  </si>
  <si>
    <t>R-038</t>
  </si>
  <si>
    <t>User Management parity with PWA</t>
  </si>
  <si>
    <t>â€¢ Reproduce the PWA User Management dashboard and its clickable summary cards instead of the current 12-value card layout.
â€¢ Add the PWA-equivalent Calendar Sync filter as a toggle.
â€¢ Add a Location filter using a compact dropdown.
â€¢ Retain a search box.
â€¢ Provide a prominent clickable Export CSV action.
â€¢ Sort users by date joined, with the final ascending/descending default to be confirmed during implementation review.
â€¢ Show Calendar Synced and city tags on each applicable user card.
â€¢ Modernise User Card actions with meaningful icons consistent with Event Card actions.</t>
  </si>
  <si>
    <t>R-039</t>
  </si>
  <si>
    <t>Event Management parity and controls</t>
  </si>
  <si>
    <t>â€¢ Reproduce the PWA Event Management view with the same eight clickable dashboard cards.
â€¢ Use dropdowns for Organiser type and Event type filters/inputs.
â€¢ Make dashboard Event Card scrolling as smooth as the Home event list.
â€¢ Every collapsed dashboard Event Card must provide Hide Event, Delete and Transfer.
â€¢ Transfer opens a searchable user selector; typing filters names, and Confirm Transfer remains disabled until a user is selected.
â€¢ Require final confirmation before transferring and update ownership atomically with an audit record.
â€¢ The expanded Event Card must include all Home Event Card actions plus Hide Event, Delete, Transfer and Remove Live Stale Event.
â€¢ Destructive operations require suitable confirmation and role/city authorisation.</t>
  </si>
  <si>
    <t>R-040</t>
  </si>
  <si>
    <t>Organisation Management visual refresh</t>
  </si>
  <si>
    <t>Organisation Management functionality is acceptable. Retain it and modernise the page's visual design, spacing, typography, icons, controls and feedback states.</t>
  </si>
  <si>
    <t>R-041</t>
  </si>
  <si>
    <t>Calendar Settings scope reduction</t>
  </si>
  <si>
    <t>Calendar Settings in the Events Admin Dashboard should contain Hijri Calendar Adjustment only.
Remove from this Admin Dashboard section:
â€¢ Important Hijri Dates
â€¢ Hijri Repair Tool
â€¢ Hijri Calendar destination
Hijri Calendar remains a separate main hamburger-menu item. Hijri Repair Tool is removed from the visible product navigation.</t>
  </si>
  <si>
    <t>R-042</t>
  </si>
  <si>
    <t>Community Messaging scope</t>
  </si>
  <si>
    <t>Community Messaging should contain, in order:
1. Community Update Message
2. Email Reminders
Remove Send Store Announcement.</t>
  </si>
  <si>
    <t>R-043</t>
  </si>
  <si>
    <t>Troubleshooting Management</t>
  </si>
  <si>
    <t>Create a Troubleshooting Management area that consolidates crash monitoring, diagnostic review and remediation tools defined by the Crash Monitoring and Diagnostic Brief. Its final items will be determined after the brief is analysed and the monitoring architecture is selected.</t>
  </si>
  <si>
    <t>R-044</t>
  </si>
  <si>
    <t>Events Admin Tools</t>
  </si>
  <si>
    <t>â€¢ Place YouTube Live Connection under Tools.
â€¢ Keep Tools extensible for additional approved utilities later.</t>
  </si>
  <si>
    <t>R-045</t>
  </si>
  <si>
    <t>Remove misplaced modules from Events Admin Dashboard</t>
  </si>
  <si>
    <t>Remove the following from the Events Admin Dashboard:
â€¢ Business Approvals
â€¢ Bulk Share Events
â€¢ Streamed Videos
â€¢ Hijri Repair Tool
â€¢ Hijri Calendar
â€¢ Feedback
â€¢ Inbox
Business Approvals belongs only to the Business Directory Admin Dashboard. Bulk Share, Streamed Videos, Hijri Calendar, Feedback and Inbox remain main navigation destinations where applicable rather than Admin Dashboard modules.</t>
  </si>
  <si>
    <t>R-046</t>
  </si>
  <si>
    <t>Profile access and hamburger logout</t>
  </si>
  <si>
    <t>â€¢ Remove Profile &amp; Settings from the hamburger menu; access it through the Profile bottom-navigation destination.
â€¢ Put Logout in the hamburger menu's top identity panel, matching the PWA placement.
â€¢ Use a clearly red logout icon rather than a text-only Logout control.
â€¢ Retain confirmation/protection against accidental logout if needed.
This latest navigation decision supersedes earlier review wording that placed Profile &amp; Settings inside each module's hamburger menu; the Profile area must still present module-appropriate settings.</t>
  </si>
  <si>
    <t>R-047</t>
  </si>
  <si>
    <t>Quick icons for Streamed Videos and Hijri Calendar</t>
  </si>
  <si>
    <t>It is feasible to provide two compact, recognisable quick-action icon buttons:
â€¢ A YouTube/video-style icon for Streamed Videos.
â€¢ A distinctive lunar/calendar icon for Hijri Calendar.
Use labelled accessibility text and tooltips/visible labels where needed so they are not icon-only for assistive technologies. Final placement should remain compact without crowding the title or safe area.</t>
  </si>
  <si>
    <t>R-048</t>
  </si>
  <si>
    <t>Business Directory-only hamburger menu</t>
  </si>
  <si>
    <t>While Community Businesses Australia is selected, show only Business Directory and shared module-aware navigation. Do not show Events-only items such as Bulk Share Events, Streamed Videos or Hijri Calendar. This reinforces R-012 and R-017.</t>
  </si>
  <si>
    <t>R-049</t>
  </si>
  <si>
    <t>Business Directory - Admin Dashboard</t>
  </si>
  <si>
    <t>Business Directory Admin Dashboard structure</t>
  </si>
  <si>
    <t>Create a separate Business Directory Admin Dashboard with:
â€¢ A compact administrator identity/name panel matching the Events dashboard dimensions but visually differentiated, potentially with a pink accent.
â€¢ A fixed-size clickable metrics panel showing: Registered Businesses, Waiting for Approval, Draft, Rejected, Users, Upcoming Promotions, Current Promotions.
â€¢ Business Approvals using the existing approval workflow after the recorded ABN/category changes.
â€¢ Users, following the Events User Management interaction pattern but scoped to Business Directory needs.
â€¢ Businesses, using a management list/dashboard similar to Users.
â€¢ Business Messaging, reusing shared messaging infrastructure but showing Business Directory conversations and audiences only.
â€¢ Troubleshooting Management, using the shared crash/diagnostic module with Business Directory filtering.
â€¢ Tools, initially including ABN Lookup and allowing future approved business utilities.
Events and Business dashboards may reuse shared components and backend services, but their visible navigation, metrics, data scope and terminology must remain separate.</t>
  </si>
  <si>
    <t>src/business/BusinessAdminDashboard.js; src/business/BusinessApprovalPanel.js</t>
  </si>
  <si>
    <t>ADD-001</t>
  </si>
  <si>
    <t>Additional and latest comments</t>
  </si>
  <si>
    <t>Events - Streaming</t>
  </si>
  <si>
    <t>Event live streaming</t>
  </si>
  <si>
    <t>Hosts can start/manage native or external YouTube live streams; signed-in viewers can watch according to visibility rules.</t>
  </si>
  <si>
    <t>src/components/NativeLiveStreamModal.js; src/services/streaming.js</t>
  </si>
  <si>
    <t>ADD-002</t>
  </si>
  <si>
    <t>Events - Messaging</t>
  </si>
  <si>
    <t>Use Contact Host terminology</t>
  </si>
  <si>
    <t>All user-facing event actions and message sheets use Contact Host, with no obsolete Connect to Host wording.</t>
  </si>
  <si>
    <t>src/components/EventDetailsModal.js; src/services/messaging.js</t>
  </si>
  <si>
    <t>ADD-003</t>
  </si>
  <si>
    <t>Events - Streamed Videos</t>
  </si>
  <si>
    <t>Streamed-video thumbnails</t>
  </si>
  <si>
    <t>Every valid YouTube stream renders an appropriate thumbnail and gracefully handles unavailable images.</t>
  </si>
  <si>
    <t>Streamed video components and YouTube hqdefault mapping</t>
  </si>
  <si>
    <t>ADD-004</t>
  </si>
  <si>
    <t>Events - Reminders</t>
  </si>
  <si>
    <t>Per-event reminders</t>
  </si>
  <si>
    <t>Users can add, change and remove one local reminder from the event drawer without duplicates.</t>
  </si>
  <si>
    <t>src/services/reminders.js; src/components/EventDetailsModal.js</t>
  </si>
  <si>
    <t>LATEST-001</t>
  </si>
  <si>
    <t>Shared - Authentication</t>
  </si>
  <si>
    <t>Start from Login or Browse as Guest</t>
  </si>
  <si>
    <t>Signed-out app launches the authentication landing page and lets the user deliberately sign in or browse as guest.</t>
  </si>
  <si>
    <t>src/components/AuthLandingScreen.js; App.js</t>
  </si>
  <si>
    <t>LATEST-002</t>
  </si>
  <si>
    <t>Firebase phone authentication works</t>
  </si>
  <si>
    <t>Production-equivalent signed APK completes phone verification on S22 without app-not-authorized, reCAPTCHA or registration errors.</t>
  </si>
  <si>
    <t>Firebase Android app signing configuration includes local SHA-1/SHA-256; final S22 retest pending</t>
  </si>
  <si>
    <t>LATEST-003</t>
  </si>
  <si>
    <t>Stream and Hijri icons are colourful and not in title header</t>
  </si>
  <si>
    <t>Header remains uncluttered; colourful, accessible Streamed Videos and Hijri Calendar shortcuts appear in approved navigation locations.</t>
  </si>
  <si>
    <t>App.js; src/components/AppHeader.js</t>
  </si>
  <si>
    <t>BRAND-001</t>
  </si>
  <si>
    <t>Shared - Branding</t>
  </si>
  <si>
    <t>Community Connect Australia platform identity</t>
  </si>
  <si>
    <t>Login, splash, installed app label and app-store-facing display name use Community Connect Australia. Home retains Community Events Australia or Community Businesses Australia according to the active module. Package and bundle identifiers remain unchanged.</t>
  </si>
  <si>
    <t>app.json; android/app/src/main/res/values/strings.xml; src/components/AuthLandingScreen.js; assets/splash-community-connect.png</t>
  </si>
  <si>
    <t>LEGAL-001</t>
  </si>
  <si>
    <t>Legal and launch readiness</t>
  </si>
  <si>
    <t>Test Governance</t>
  </si>
  <si>
    <t>No real Business Directory data before store launch</t>
  </si>
  <si>
    <t>Only approved testers receive builds; all directory records, contacts and images are fictional; test data is purged before production.</t>
  </si>
  <si>
    <t>Decision / Constraint</t>
  </si>
  <si>
    <t>Product decision recorded 20 August 2026.</t>
  </si>
  <si>
    <t>LEGAL-002</t>
  </si>
  <si>
    <t>Business Directory - Data Security</t>
  </si>
  <si>
    <t>Separate public and private business data</t>
  </si>
  <si>
    <t>Public Firestore reads cannot expose owner UID, private phone/email, internal verification or audit fields.</t>
  </si>
  <si>
    <t>Private businesses plus sanitised publicBusinesses and authenticated businessContactRoutes projections implemented.</t>
  </si>
  <si>
    <t>LEGAL-003</t>
  </si>
  <si>
    <t>Business Directory - Consent</t>
  </si>
  <si>
    <t>Versioned business-listing declarations</t>
  </si>
  <si>
    <t>Submission requires explicit authority, accuracy, licence/insurance responsibility and Terms/Listing Rules acceptance; version and timestamp are stored.</t>
  </si>
  <si>
    <t>Versioned mandatory listing declaration and timestamps implemented.</t>
  </si>
  <si>
    <t>LEGAL-004</t>
  </si>
  <si>
    <t>Business Directory - Verification</t>
  </si>
  <si>
    <t>ABN-only badge and prominent disclaimer</t>
  </si>
  <si>
    <t>Only ABN status is described as verified; no trusted/vetted/approved provider implication; verification scope appears above contact actions.</t>
  </si>
  <si>
    <t>ABN-only badge and prominent directory disclaimer implemented.</t>
  </si>
  <si>
    <t>LEGAL-005</t>
  </si>
  <si>
    <t>Business Directory - Safety</t>
  </si>
  <si>
    <t>Report, block, takedown and appeals workflow</t>
  </si>
  <si>
    <t>Users can report a business or conversation; authorised admins can investigate, hide, decide and audit; owners can receive reasons and appeal.</t>
  </si>
  <si>
    <t>Partial</t>
  </si>
  <si>
    <t>Core messaging exists; complete safety controls and retention.</t>
  </si>
  <si>
    <t>LEGAL-006</t>
  </si>
  <si>
    <t>Business Directory - Consumer Presentation</t>
  </si>
  <si>
    <t>Remove reviews and misleading trust language for initial release</t>
  </si>
  <si>
    <t>No dormant ratings/reviews appear; promoted placement is clearly identified; directory wording does not imply quality vetting.</t>
  </si>
  <si>
    <t>Ratings/reviews and misleading trusted/vetted wording removed; sponsored content labelled.</t>
  </si>
  <si>
    <t>LEGAL-007</t>
  </si>
  <si>
    <t>Business Directory - Address Privacy</t>
  </si>
  <si>
    <t>Storefront versus service-area privacy control</t>
  </si>
  <si>
    <t>Owner explicitly chooses full public storefront address or suburb/service area; home address is not public by default.</t>
  </si>
  <si>
    <t>Storefront or suburb/service-area public display selector and sanitised projection implemented.</t>
  </si>
  <si>
    <t>LEGAL-008</t>
  </si>
  <si>
    <t>Business Directory - ABR Integration</t>
  </si>
  <si>
    <t>Fail-closed server-side ABR verification</t>
  </si>
  <si>
    <t>ABR credentials remain server-side; outages keep listing private; result, checked date and recheck history are recorded.</t>
  </si>
  <si>
    <t>Current implementation uses checksum plus manual ABR confirmation.</t>
  </si>
  <si>
    <t>LEGAL-009</t>
  </si>
  <si>
    <t>Business Directory - Retention</t>
  </si>
  <si>
    <t>Listing, upload and message deletion/retention</t>
  </si>
  <si>
    <t>Owners can request or perform appropriate deletion; retention periods and exceptions are implemented and auditable.</t>
  </si>
  <si>
    <t>Current business messages cannot be deleted and listing deletion is admin-only.</t>
  </si>
  <si>
    <t>LEGAL-010</t>
  </si>
  <si>
    <t>Shared - Legal Documents</t>
  </si>
  <si>
    <t>Consolidated production legal documents</t>
  </si>
  <si>
    <t>Privacy Policy and Terms cover both modules; supporting Listing, Content, Promotions, Retention and Complaints policies are reviewed and versioned.</t>
  </si>
  <si>
    <t>Consolidated pre-launch drafts are in docs/legal; legal review, operator details, versioning and publication remain release gates.</t>
  </si>
  <si>
    <t>LEGAL-011</t>
  </si>
  <si>
    <t>Tester-only build safeguards</t>
  </si>
  <si>
    <t>Test builds show a no-real-data notice, use allowlisted testers or equivalent controls, disable payments/marketing and identify test records.</t>
  </si>
  <si>
    <t>Test-build configuration and fictional/authorised data warning implemented; store-launch gate remains a release-process control.</t>
  </si>
  <si>
    <t>Community Events + Businesses â€” Final Build Readiness</t>
  </si>
  <si>
    <t>Workbook rule</t>
  </si>
  <si>
    <t>No APK build until every implementation-required row is source complete, statically verified, and ready for the userâ€™s Excel review.</t>
  </si>
  <si>
    <t>Metric</t>
  </si>
  <si>
    <t>Count</t>
  </si>
  <si>
    <t>Total recorded rows</t>
  </si>
  <si>
    <t>Not started</t>
  </si>
  <si>
    <t>Source complete â€” device pending</t>
  </si>
  <si>
    <t>Accepted on device</t>
  </si>
  <si>
    <t>Failed S22 tests</t>
  </si>
  <si>
    <t>Pending user acceptance</t>
  </si>
  <si>
    <t>Priority gate</t>
  </si>
  <si>
    <t>Open rows</t>
  </si>
  <si>
    <t>Acceptance workflow</t>
  </si>
  <si>
    <t>1. Implement and record exact source evidence.
2. Run static verification and mark Passed.
3. Review the workbook before building the APK.
4. Test on S22 and record Passed/Failed.
5. User marks Accepted only after confirming the requirement.</t>
  </si>
  <si>
    <t>Source</t>
  </si>
  <si>
    <t>Purpose</t>
  </si>
  <si>
    <t>Location</t>
  </si>
  <si>
    <t>Rule</t>
  </si>
  <si>
    <t>Original 20 comments</t>
  </si>
  <si>
    <t>First major APK feedback register</t>
  </si>
  <si>
    <t>PWA_PARITY_CHECKLIST.md</t>
  </si>
  <si>
    <t>Retained individually even when later comments overlap.</t>
  </si>
  <si>
    <t>Detailed review comments</t>
  </si>
  <si>
    <t>Review items R-001 through R-049</t>
  </si>
  <si>
    <t>REVIEW_COMMENTS.md</t>
  </si>
  <si>
    <t>Later wording supersedes conflicting earlier wording.</t>
  </si>
  <si>
    <t>Legal framework</t>
  </si>
  <si>
    <t>Australian Business Directory legal and developer brief</t>
  </si>
  <si>
    <t>Project Documentation PDF</t>
  </si>
  <si>
    <t>Legal publication is deferred, but technical safety requirements are pre-launch gates.</t>
  </si>
  <si>
    <t>User decision</t>
  </si>
  <si>
    <t>Tester-only distribution before stores</t>
  </si>
  <si>
    <t>Conversation, 20 August 2026</t>
  </si>
  <si>
    <t>No real business data before production launch.</t>
  </si>
  <si>
    <t>PWA reference</t>
  </si>
  <si>
    <t>Existing production terminology and behaviours</t>
  </si>
  <si>
    <t>Community Event/App</t>
  </si>
  <si>
    <t>Native module should preserve approved PWA names and workflows.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</si>
</sst>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family val="2"/>
    </font>
    <font>
      <sz val="10"/>
      <color theme="1"/>
      <name val="Aptos"/>
      <family val="2"/>
    </font>
    <font>
      <b/>
      <sz val="10"/>
      <color rgb="FFFFFFFF"/>
      <name val="Aptos"/>
      <family val="2"/>
    </font>
    <font>
      <b/>
      <sz val="20"/>
      <color rgb="FFFFFFFF"/>
      <name val="Aptos Display"/>
      <family val="2"/>
    </font>
    <font>
      <b/>
      <sz val="11"/>
      <color theme="1"/>
      <name val="Aptos"/>
      <family val="2"/>
    </font>
    <font>
      <b/>
      <sz val="11"/>
      <color rgb="FFFFFFFF"/>
      <name val="Aptos Narrow"/>
      <family val="2"/>
      <scheme val="minor"/>
    </font>
  </fonts>
  <fills count="3">
    <fill>
      <patternFill patternType="none"/>
    </fill>
    <fill>
      <patternFill patternType="gray125"/>
    </fill>
    <fill>
      <patternFill patternType="solid">
        <fgColor rgb="FF115B7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2" fillId="0" borderId="0" xfId="0" applyFont="1" applyAlignment="1">
      <alignment vertical="top" wrapText="1"/>
    </xf>
    <xf numFmtId="0" fontId="3" fillId="2" borderId="0" xfId="0" applyFont="1" applyFill="1" applyAlignment="1">
      <alignment horizontal="center" vertical="top" wrapText="1"/>
    </xf>
    <xf numFmtId="0" fontId="0" fillId="0" borderId="0" xfId="0"/>
    <xf numFmtId="0" fontId="4" fillId="2" borderId="0" xfId="0" applyFont="1" applyFill="1"/>
    <xf numFmtId="0" fontId="1" fillId="0" borderId="0" xfId="0" applyFont="1"/>
    <xf numFmtId="0" fontId="1" fillId="0" borderId="0" xfId="0" applyFont="1"/>
    <xf numFmtId="0" fontId="5" fillId="0" borderId="0" xfId="0" applyFont="1"/>
    <xf numFmtId="0" fontId="1" fillId="0" borderId="0" xfId="0" applyFont="1" applyAlignment="1">
      <alignment vertical="top" wrapText="1"/>
    </xf>
    <xf numFmtId="0" fontId="5" fillId="0" borderId="1" xfId="0" applyFont="1" applyBorder="1"/>
    <xf numFmtId="0" fontId="1" fillId="0" borderId="1" xfId="0" applyFont="1" applyBorder="1"/>
    <xf numFmtId="0" fontId="6" fillId="2" borderId="0" xfId="0" applyFont="1" applyFill="1" applyAlignment="1">
      <alignment wrapText="1"/>
    </xf>
  </cellXfs>
  <cellStyles count="1">
    <cellStyle name="Normal" xfId="0" builtinId="0"/>
  </cellStyles>
  <dxfs count="31">
    <dxf>
      <fill>
        <patternFill>
          <bgColor rgb="FFFFCEC7"/>
        </patternFill>
      </fill>
    </dxf>
    <dxf>
      <fill>
        <patternFill>
          <bgColor rgb="FFCEEFC6"/>
        </patternFill>
      </fill>
    </dxf>
    <dxf>
      <fill>
        <patternFill>
          <bgColor rgb="FFDEF1EB"/>
        </patternFill>
      </fill>
    </dxf>
    <dxf>
      <fill>
        <patternFill>
          <bgColor rgb="FFFFCEC7"/>
        </patternFill>
      </fill>
    </dxf>
    <dxf>
      <fill>
        <patternFill>
          <bgColor rgb="FFCEEFC6"/>
        </patternFill>
      </fill>
    </dxf>
    <dxf>
      <fill>
        <patternFill>
          <bgColor rgb="FFDEF1EB"/>
        </patternFill>
      </fill>
    </dxf>
    <dxf>
      <fill>
        <patternFill>
          <bgColor rgb="FFFFCEC7"/>
        </patternFill>
      </fill>
    </dxf>
    <dxf>
      <fill>
        <patternFill>
          <bgColor rgb="FFCEEFC6"/>
        </patternFill>
      </fill>
    </dxf>
    <dxf>
      <fill>
        <patternFill>
          <bgColor rgb="FFDEF1EB"/>
        </patternFill>
      </fill>
    </dxf>
    <dxf>
      <font>
        <color rgb="FF003B5B"/>
      </font>
      <fill>
        <patternFill>
          <bgColor rgb="FFD5E3F2"/>
        </patternFill>
      </fill>
    </dxf>
    <dxf>
      <font>
        <color rgb="FF06009C"/>
      </font>
      <fill>
        <patternFill>
          <bgColor rgb="FFFFCEC7"/>
        </patternFill>
      </fill>
    </dxf>
    <dxf>
      <font>
        <color rgb="FF00659C"/>
      </font>
      <fill>
        <patternFill>
          <bgColor rgb="FFDEF1EB"/>
        </patternFill>
      </fill>
    </dxf>
    <dxf>
      <font>
        <color rgb="FF006100"/>
      </font>
      <fill>
        <patternFill>
          <bgColor rgb="FF8ED1A9"/>
        </patternFill>
      </fill>
    </dxf>
    <dxf>
      <font>
        <color rgb="FF006100"/>
      </font>
      <fill>
        <patternFill>
          <bgColor rgb="FFCEEFC6"/>
        </patternFill>
      </fill>
    </dxf>
    <dxf>
      <font>
        <color rgb="FF006100"/>
      </font>
      <fill>
        <patternFill>
          <bgColor rgb="FFCEEFC6"/>
        </patternFill>
      </fill>
    </dxf>
    <dxf>
      <font>
        <b/>
        <i val="0"/>
        <strike val="0"/>
        <condense val="0"/>
        <extend val="0"/>
        <outline val="0"/>
        <shadow val="0"/>
        <u val="none"/>
        <vertAlign val="baseline"/>
        <sz val="10"/>
        <color rgb="FFFFFFFF"/>
        <name val="Aptos"/>
        <family val="2"/>
        <scheme val="none"/>
      </font>
      <fill>
        <patternFill patternType="solid">
          <fgColor indexed="64"/>
          <bgColor rgb="FF115B7A"/>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A8B53A-3229-474D-8599-B1B4A2C090E8}" name="ImplementationChecklist" displayName="ImplementationChecklist" ref="A1:N89" totalsRowShown="0" headerRowDxfId="15" dataDxfId="16">
  <autoFilter ref="A1:N89" xr:uid="{C7FA69AC-8684-4EAE-B697-B69C690262F8}"/>
  <tableColumns count="14">
    <tableColumn id="1" xr3:uid="{1A0B6F1A-F512-4A8D-BEE5-2446C342B4FC}" name="ID" dataDxfId="30"/>
    <tableColumn id="2" xr3:uid="{C38992FF-32EF-41EC-9AD6-A7ED75B6BB40}" name="Batch" dataDxfId="29"/>
    <tableColumn id="3" xr3:uid="{04E0C4D9-6915-4A67-A619-2BA4FD71FE1B}" name="Module" dataDxfId="28"/>
    <tableColumn id="4" xr3:uid="{8778EFAD-E535-4948-9675-76AFB6618248}" name="Requirement" dataDxfId="27"/>
    <tableColumn id="5" xr3:uid="{A0AEC55F-DE68-4343-87E2-C19DCC1229EC}" name="Acceptance Criteria" dataDxfId="26"/>
    <tableColumn id="6" xr3:uid="{1DE2C21A-0840-48DC-B58F-E1F2E89971B5}" name="Priority" dataDxfId="25"/>
    <tableColumn id="7" xr3:uid="{3E808914-2272-4C39-97CE-5A268829E88E}" name="Implementation Status" dataDxfId="24"/>
    <tableColumn id="8" xr3:uid="{AA401520-32F4-4EEC-8DBD-F120F71FACBB}" name="Implementation Required" dataDxfId="23"/>
    <tableColumn id="9" xr3:uid="{69399126-9F60-4866-8E0A-799BF3D12AA7}" name="Source Evidence / Files" dataDxfId="22"/>
    <tableColumn id="10" xr3:uid="{FB7C28CD-86EE-4391-948B-2BBDEF350266}" name="Static Verification" dataDxfId="21"/>
    <tableColumn id="11" xr3:uid="{25C4D674-3010-4B90-8371-B822C31E3C2D}" name="S22 Device Test" dataDxfId="20"/>
    <tableColumn id="12" xr3:uid="{497A0C7E-ACAF-433E-A939-321D3D811E01}" name="User Acceptance" dataDxfId="19"/>
    <tableColumn id="13" xr3:uid="{64B45970-E9AB-4897-8E3E-DF3912B0C9C5}" name="Target Build" dataDxfId="18"/>
    <tableColumn id="14" xr3:uid="{8800A28B-52DA-4714-89A6-E2EDEA1FCD81}" name="Notes" data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4CD09-C852-4905-8924-5EF0DC03E7BB}">
  <dimension ref="A1:D6"/>
  <sheetViews>
    <sheetView workbookViewId="0"/>
  </sheetViews>
  <sheetFormatPr defaultRowHeight="15" x14ac:dyDescent="0.25"/>
  <cols>
    <col min="1" max="1" width="24.7109375" customWidth="1"/>
    <col min="2" max="2" width="40.7109375" customWidth="1"/>
    <col min="3" max="3" width="50.7109375" customWidth="1"/>
    <col min="4" max="4" width="62.7109375" customWidth="1"/>
  </cols>
  <sheetData>
    <row r="1" spans="1:4" x14ac:dyDescent="0.25">
      <c r="A1" s="12" t="s">
        <v>408</v>
      </c>
      <c r="B1" s="12" t="s">
        <v>409</v>
      </c>
      <c r="C1" s="12" t="s">
        <v>410</v>
      </c>
      <c r="D1" s="12" t="s">
        <v>411</v>
      </c>
    </row>
    <row r="2" spans="1:4" ht="50.1" customHeight="1" x14ac:dyDescent="0.25">
      <c r="A2" s="1" t="s">
        <v>412</v>
      </c>
      <c r="B2" s="1" t="s">
        <v>413</v>
      </c>
      <c r="C2" s="1" t="s">
        <v>414</v>
      </c>
      <c r="D2" s="1" t="s">
        <v>415</v>
      </c>
    </row>
    <row r="3" spans="1:4" ht="50.1" customHeight="1" x14ac:dyDescent="0.25">
      <c r="A3" s="1" t="s">
        <v>416</v>
      </c>
      <c r="B3" s="1" t="s">
        <v>417</v>
      </c>
      <c r="C3" s="1" t="s">
        <v>418</v>
      </c>
      <c r="D3" s="1" t="s">
        <v>419</v>
      </c>
    </row>
    <row r="4" spans="1:4" ht="50.1" customHeight="1" x14ac:dyDescent="0.25">
      <c r="A4" s="1" t="s">
        <v>420</v>
      </c>
      <c r="B4" s="1" t="s">
        <v>421</v>
      </c>
      <c r="C4" s="1" t="s">
        <v>422</v>
      </c>
      <c r="D4" s="1" t="s">
        <v>423</v>
      </c>
    </row>
    <row r="5" spans="1:4" ht="50.1" customHeight="1" x14ac:dyDescent="0.25">
      <c r="A5" s="1" t="s">
        <v>424</v>
      </c>
      <c r="B5" s="1" t="s">
        <v>425</v>
      </c>
      <c r="C5" s="1" t="s">
        <v>426</v>
      </c>
      <c r="D5" s="1" t="s">
        <v>427</v>
      </c>
    </row>
    <row r="6" spans="1:4" ht="50.1" customHeight="1" x14ac:dyDescent="0.25">
      <c r="A6" s="1" t="s">
        <v>428</v>
      </c>
      <c r="B6" s="1" t="s">
        <v>429</v>
      </c>
      <c r="C6" s="1" t="s">
        <v>430</v>
      </c>
      <c r="D6" s="1" t="s">
        <v>431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44172-E215-4AE5-A7F5-357C9A120904}">
  <dimension ref="A1:F19"/>
  <sheetViews>
    <sheetView tabSelected="1" workbookViewId="0">
      <selection sqref="A1:F1"/>
    </sheetView>
  </sheetViews>
  <sheetFormatPr defaultRowHeight="15" x14ac:dyDescent="0.25"/>
  <cols>
    <col min="1" max="1" width="34.7109375" customWidth="1"/>
    <col min="2" max="2" width="18.7109375" customWidth="1"/>
    <col min="3" max="3" width="5.7109375" customWidth="1"/>
    <col min="4" max="4" width="22.7109375" customWidth="1"/>
    <col min="5" max="6" width="18.7109375" customWidth="1"/>
  </cols>
  <sheetData>
    <row r="1" spans="1:6" ht="39.950000000000003" customHeight="1" x14ac:dyDescent="0.4">
      <c r="A1" s="5" t="s">
        <v>393</v>
      </c>
      <c r="B1" s="4"/>
      <c r="C1" s="4"/>
      <c r="D1" s="4"/>
      <c r="E1" s="4"/>
      <c r="F1" s="4"/>
    </row>
    <row r="3" spans="1:6" x14ac:dyDescent="0.25">
      <c r="A3" s="6" t="s">
        <v>394</v>
      </c>
      <c r="B3" s="7" t="s">
        <v>395</v>
      </c>
      <c r="C3" s="7"/>
      <c r="D3" s="7"/>
      <c r="E3" s="7"/>
      <c r="F3" s="7"/>
    </row>
    <row r="4" spans="1:6" x14ac:dyDescent="0.25">
      <c r="A4" s="6"/>
      <c r="B4" s="6"/>
      <c r="C4" s="6"/>
      <c r="D4" s="6"/>
      <c r="E4" s="6"/>
      <c r="F4" s="6"/>
    </row>
    <row r="5" spans="1:6" x14ac:dyDescent="0.25">
      <c r="A5" s="10" t="s">
        <v>396</v>
      </c>
      <c r="B5" s="10" t="s">
        <v>397</v>
      </c>
      <c r="C5" s="6"/>
      <c r="D5" s="10" t="s">
        <v>404</v>
      </c>
      <c r="E5" s="10" t="s">
        <v>405</v>
      </c>
      <c r="F5" s="6"/>
    </row>
    <row r="6" spans="1:6" x14ac:dyDescent="0.25">
      <c r="A6" s="11" t="s">
        <v>398</v>
      </c>
      <c r="B6" s="11">
        <f>COUNTA(ImplementationChecklist[ID])</f>
        <v>88</v>
      </c>
      <c r="C6" s="6"/>
      <c r="D6" s="11" t="s">
        <v>19</v>
      </c>
      <c r="E6" s="11">
        <f>COUNTIFS(ImplementationChecklist[Priority],"P0",ImplementationChecklist[Implementation Required],"Yes",ImplementationChecklist[User Acceptance],"&lt;&gt;Accepted")</f>
        <v>30</v>
      </c>
      <c r="F6" s="6"/>
    </row>
    <row r="7" spans="1:6" x14ac:dyDescent="0.25">
      <c r="A7" s="11" t="s">
        <v>399</v>
      </c>
      <c r="B7" s="11">
        <f>COUNTIF(ImplementationChecklist[Implementation Status],"Not Started")</f>
        <v>0</v>
      </c>
      <c r="C7" s="6"/>
      <c r="D7" s="11" t="s">
        <v>30</v>
      </c>
      <c r="E7" s="11">
        <f>COUNTIFS(ImplementationChecklist[Priority],"P1",ImplementationChecklist[Implementation Required],"Yes",ImplementationChecklist[User Acceptance],"&lt;&gt;Accepted")</f>
        <v>37</v>
      </c>
      <c r="F7" s="6"/>
    </row>
    <row r="8" spans="1:6" x14ac:dyDescent="0.25">
      <c r="A8" s="11" t="s">
        <v>362</v>
      </c>
      <c r="B8" s="11">
        <f>COUNTIF(ImplementationChecklist[Implementation Status],"Partial")</f>
        <v>3</v>
      </c>
      <c r="C8" s="6"/>
      <c r="D8" s="11" t="s">
        <v>35</v>
      </c>
      <c r="E8" s="11">
        <f>COUNTIFS(ImplementationChecklist[Priority],"P2",ImplementationChecklist[Implementation Required],"Yes",ImplementationChecklist[User Acceptance],"&lt;&gt;Accepted")</f>
        <v>18</v>
      </c>
      <c r="F8" s="6"/>
    </row>
    <row r="9" spans="1:6" x14ac:dyDescent="0.25">
      <c r="A9" s="11" t="s">
        <v>400</v>
      </c>
      <c r="B9" s="11">
        <f>COUNTIF(ImplementationChecklist[Implementation Status],"Source Complete - Device Pending")</f>
        <v>82</v>
      </c>
      <c r="C9" s="6"/>
      <c r="D9" s="6"/>
      <c r="E9" s="6"/>
      <c r="F9" s="6"/>
    </row>
    <row r="10" spans="1:6" x14ac:dyDescent="0.25">
      <c r="A10" s="11" t="s">
        <v>401</v>
      </c>
      <c r="B10" s="11">
        <f>COUNTIF(ImplementationChecklist[Implementation Status],"Accepted on Device")</f>
        <v>0</v>
      </c>
      <c r="C10" s="6"/>
      <c r="D10" s="6"/>
      <c r="E10" s="6"/>
      <c r="F10" s="6"/>
    </row>
    <row r="11" spans="1:6" x14ac:dyDescent="0.25">
      <c r="A11" s="11" t="s">
        <v>402</v>
      </c>
      <c r="B11" s="11">
        <f>COUNTIF(ImplementationChecklist[S22 Device Test],"Failed")</f>
        <v>0</v>
      </c>
      <c r="C11" s="6"/>
      <c r="D11" s="6"/>
      <c r="E11" s="6"/>
      <c r="F11" s="6"/>
    </row>
    <row r="12" spans="1:6" x14ac:dyDescent="0.25">
      <c r="A12" s="11" t="s">
        <v>403</v>
      </c>
      <c r="B12" s="11">
        <f>COUNTIFS(ImplementationChecklist[Implementation Required],"Yes",ImplementationChecklist[User Acceptance],"Pending")</f>
        <v>85</v>
      </c>
      <c r="C12" s="6"/>
      <c r="D12" s="6"/>
      <c r="E12" s="6"/>
      <c r="F12" s="6"/>
    </row>
    <row r="13" spans="1:6" x14ac:dyDescent="0.25">
      <c r="A13" s="6"/>
      <c r="B13" s="6"/>
      <c r="C13" s="6"/>
      <c r="D13" s="6"/>
      <c r="E13" s="6"/>
      <c r="F13" s="6"/>
    </row>
    <row r="14" spans="1:6" x14ac:dyDescent="0.25">
      <c r="A14" s="6"/>
      <c r="B14" s="6"/>
      <c r="C14" s="6"/>
      <c r="D14" s="6"/>
      <c r="E14" s="6"/>
      <c r="F14" s="6"/>
    </row>
    <row r="15" spans="1:6" x14ac:dyDescent="0.25">
      <c r="A15" s="8" t="s">
        <v>406</v>
      </c>
      <c r="B15" s="7"/>
      <c r="C15" s="7"/>
      <c r="D15" s="7"/>
      <c r="E15" s="7"/>
      <c r="F15" s="7"/>
    </row>
    <row r="16" spans="1:6" ht="24" customHeight="1" x14ac:dyDescent="0.25">
      <c r="A16" s="9" t="s">
        <v>407</v>
      </c>
      <c r="B16" s="9"/>
      <c r="C16" s="9"/>
      <c r="D16" s="9"/>
      <c r="E16" s="9"/>
      <c r="F16" s="9"/>
    </row>
    <row r="17" spans="1:6" ht="24" customHeight="1" x14ac:dyDescent="0.25">
      <c r="A17" s="9"/>
      <c r="B17" s="9"/>
      <c r="C17" s="9"/>
      <c r="D17" s="9"/>
      <c r="E17" s="9"/>
      <c r="F17" s="9"/>
    </row>
    <row r="18" spans="1:6" ht="24" customHeight="1" x14ac:dyDescent="0.25">
      <c r="A18" s="9"/>
      <c r="B18" s="9"/>
      <c r="C18" s="9"/>
      <c r="D18" s="9"/>
      <c r="E18" s="9"/>
      <c r="F18" s="9"/>
    </row>
    <row r="19" spans="1:6" ht="24" customHeight="1" x14ac:dyDescent="0.25">
      <c r="A19" s="9"/>
      <c r="B19" s="9"/>
      <c r="C19" s="9"/>
      <c r="D19" s="9"/>
      <c r="E19" s="9"/>
      <c r="F19" s="9"/>
    </row>
  </sheetData>
  <mergeCells count="4">
    <mergeCell ref="A1:F1"/>
    <mergeCell ref="B3:F3"/>
    <mergeCell ref="A15:F15"/>
    <mergeCell ref="A16:F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A69AC-8684-4EAE-B697-B69C690262F8}">
  <dimension ref="A1:N89"/>
  <sheetViews>
    <sheetView workbookViewId="0">
      <pane ySplit="1" topLeftCell="A2" activePane="bottomLeft" state="frozenSplit"/>
      <selection pane="bottomLeft"/>
    </sheetView>
  </sheetViews>
  <sheetFormatPr defaultRowHeight="15" x14ac:dyDescent="0.25"/>
  <cols>
    <col min="1" max="1" width="14.7109375" customWidth="1"/>
    <col min="2" max="2" width="24.7109375" customWidth="1"/>
    <col min="3" max="3" width="30.7109375" customWidth="1"/>
    <col min="4" max="4" width="38.7109375" customWidth="1"/>
    <col min="5" max="5" width="80.7109375" customWidth="1"/>
    <col min="6" max="6" width="10.7109375" customWidth="1"/>
    <col min="7" max="7" width="28.7109375" customWidth="1"/>
    <col min="8" max="8" width="25.140625" customWidth="1"/>
    <col min="9" max="9" width="52.7109375" customWidth="1"/>
    <col min="10" max="10" width="20.7109375" customWidth="1"/>
    <col min="11" max="12" width="18.7109375" customWidth="1"/>
    <col min="13" max="13" width="20.7109375" customWidth="1"/>
    <col min="14" max="14" width="48.7109375" customWidth="1"/>
  </cols>
  <sheetData>
    <row r="1" spans="1:14" ht="32.1"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row>
    <row r="2" spans="1:14" ht="78" customHeight="1" x14ac:dyDescent="0.25">
      <c r="A2" s="2" t="s">
        <v>14</v>
      </c>
      <c r="B2" s="2" t="s">
        <v>15</v>
      </c>
      <c r="C2" s="2" t="s">
        <v>16</v>
      </c>
      <c r="D2" s="2" t="s">
        <v>17</v>
      </c>
      <c r="E2" s="2" t="s">
        <v>18</v>
      </c>
      <c r="F2" s="2" t="s">
        <v>19</v>
      </c>
      <c r="G2" s="2" t="s">
        <v>20</v>
      </c>
      <c r="H2" s="2" t="s">
        <v>21</v>
      </c>
      <c r="I2" s="2" t="s">
        <v>22</v>
      </c>
      <c r="J2" s="2" t="s">
        <v>23</v>
      </c>
      <c r="K2" s="2" t="s">
        <v>24</v>
      </c>
      <c r="L2" s="2" t="s">
        <v>24</v>
      </c>
      <c r="M2" s="2" t="s">
        <v>25</v>
      </c>
      <c r="N2" s="2" t="s">
        <v>26</v>
      </c>
    </row>
    <row r="3" spans="1:14" ht="78" customHeight="1" x14ac:dyDescent="0.25">
      <c r="A3" s="2" t="s">
        <v>27</v>
      </c>
      <c r="B3" s="2" t="s">
        <v>15</v>
      </c>
      <c r="C3" s="2" t="s">
        <v>16</v>
      </c>
      <c r="D3" s="2" t="s">
        <v>28</v>
      </c>
      <c r="E3" s="2" t="s">
        <v>29</v>
      </c>
      <c r="F3" s="2" t="s">
        <v>30</v>
      </c>
      <c r="G3" s="2" t="s">
        <v>20</v>
      </c>
      <c r="H3" s="2" t="s">
        <v>21</v>
      </c>
      <c r="I3" s="2" t="s">
        <v>31</v>
      </c>
      <c r="J3" s="2" t="s">
        <v>23</v>
      </c>
      <c r="K3" s="2" t="s">
        <v>24</v>
      </c>
      <c r="L3" s="2" t="s">
        <v>24</v>
      </c>
      <c r="M3" s="2" t="s">
        <v>25</v>
      </c>
      <c r="N3" s="2" t="s">
        <v>26</v>
      </c>
    </row>
    <row r="4" spans="1:14" ht="78" customHeight="1" x14ac:dyDescent="0.25">
      <c r="A4" s="2" t="s">
        <v>32</v>
      </c>
      <c r="B4" s="2" t="s">
        <v>15</v>
      </c>
      <c r="C4" s="2" t="s">
        <v>16</v>
      </c>
      <c r="D4" s="2" t="s">
        <v>33</v>
      </c>
      <c r="E4" s="2" t="s">
        <v>34</v>
      </c>
      <c r="F4" s="2" t="s">
        <v>35</v>
      </c>
      <c r="G4" s="2" t="s">
        <v>20</v>
      </c>
      <c r="H4" s="2" t="s">
        <v>21</v>
      </c>
      <c r="I4" s="2" t="s">
        <v>36</v>
      </c>
      <c r="J4" s="2" t="s">
        <v>23</v>
      </c>
      <c r="K4" s="2" t="s">
        <v>24</v>
      </c>
      <c r="L4" s="2" t="s">
        <v>24</v>
      </c>
      <c r="M4" s="2" t="s">
        <v>25</v>
      </c>
      <c r="N4" s="2" t="s">
        <v>26</v>
      </c>
    </row>
    <row r="5" spans="1:14" ht="78" customHeight="1" x14ac:dyDescent="0.25">
      <c r="A5" s="2" t="s">
        <v>37</v>
      </c>
      <c r="B5" s="2" t="s">
        <v>15</v>
      </c>
      <c r="C5" s="2" t="s">
        <v>38</v>
      </c>
      <c r="D5" s="2" t="s">
        <v>39</v>
      </c>
      <c r="E5" s="2" t="s">
        <v>34</v>
      </c>
      <c r="F5" s="2" t="s">
        <v>35</v>
      </c>
      <c r="G5" s="2" t="s">
        <v>20</v>
      </c>
      <c r="H5" s="2" t="s">
        <v>21</v>
      </c>
      <c r="I5" s="2" t="s">
        <v>36</v>
      </c>
      <c r="J5" s="2" t="s">
        <v>23</v>
      </c>
      <c r="K5" s="2" t="s">
        <v>24</v>
      </c>
      <c r="L5" s="2" t="s">
        <v>24</v>
      </c>
      <c r="M5" s="2" t="s">
        <v>25</v>
      </c>
      <c r="N5" s="2" t="s">
        <v>26</v>
      </c>
    </row>
    <row r="6" spans="1:14" ht="78" customHeight="1" x14ac:dyDescent="0.25">
      <c r="A6" s="2" t="s">
        <v>40</v>
      </c>
      <c r="B6" s="2" t="s">
        <v>15</v>
      </c>
      <c r="C6" s="2" t="s">
        <v>41</v>
      </c>
      <c r="D6" s="2" t="s">
        <v>42</v>
      </c>
      <c r="E6" s="2" t="s">
        <v>43</v>
      </c>
      <c r="F6" s="2" t="s">
        <v>30</v>
      </c>
      <c r="G6" s="2" t="s">
        <v>20</v>
      </c>
      <c r="H6" s="2" t="s">
        <v>21</v>
      </c>
      <c r="I6" s="2" t="s">
        <v>44</v>
      </c>
      <c r="J6" s="2" t="s">
        <v>23</v>
      </c>
      <c r="K6" s="2" t="s">
        <v>24</v>
      </c>
      <c r="L6" s="2" t="s">
        <v>24</v>
      </c>
      <c r="M6" s="2" t="s">
        <v>25</v>
      </c>
      <c r="N6" s="2" t="s">
        <v>26</v>
      </c>
    </row>
    <row r="7" spans="1:14" ht="78" customHeight="1" x14ac:dyDescent="0.25">
      <c r="A7" s="2" t="s">
        <v>45</v>
      </c>
      <c r="B7" s="2" t="s">
        <v>15</v>
      </c>
      <c r="C7" s="2" t="s">
        <v>41</v>
      </c>
      <c r="D7" s="2" t="s">
        <v>46</v>
      </c>
      <c r="E7" s="2" t="s">
        <v>47</v>
      </c>
      <c r="F7" s="2" t="s">
        <v>30</v>
      </c>
      <c r="G7" s="2" t="s">
        <v>20</v>
      </c>
      <c r="H7" s="2" t="s">
        <v>21</v>
      </c>
      <c r="I7" s="2" t="s">
        <v>48</v>
      </c>
      <c r="J7" s="2" t="s">
        <v>23</v>
      </c>
      <c r="K7" s="2" t="s">
        <v>24</v>
      </c>
      <c r="L7" s="2" t="s">
        <v>24</v>
      </c>
      <c r="M7" s="2" t="s">
        <v>25</v>
      </c>
      <c r="N7" s="2" t="s">
        <v>26</v>
      </c>
    </row>
    <row r="8" spans="1:14" ht="78" customHeight="1" x14ac:dyDescent="0.25">
      <c r="A8" s="2" t="s">
        <v>49</v>
      </c>
      <c r="B8" s="2" t="s">
        <v>15</v>
      </c>
      <c r="C8" s="2" t="s">
        <v>50</v>
      </c>
      <c r="D8" s="2" t="s">
        <v>51</v>
      </c>
      <c r="E8" s="2" t="s">
        <v>52</v>
      </c>
      <c r="F8" s="2" t="s">
        <v>19</v>
      </c>
      <c r="G8" s="2" t="s">
        <v>20</v>
      </c>
      <c r="H8" s="2" t="s">
        <v>21</v>
      </c>
      <c r="I8" s="2" t="s">
        <v>53</v>
      </c>
      <c r="J8" s="2" t="s">
        <v>23</v>
      </c>
      <c r="K8" s="2" t="s">
        <v>24</v>
      </c>
      <c r="L8" s="2" t="s">
        <v>24</v>
      </c>
      <c r="M8" s="2" t="s">
        <v>25</v>
      </c>
      <c r="N8" s="2" t="s">
        <v>26</v>
      </c>
    </row>
    <row r="9" spans="1:14" ht="78" customHeight="1" x14ac:dyDescent="0.25">
      <c r="A9" s="2" t="s">
        <v>54</v>
      </c>
      <c r="B9" s="2" t="s">
        <v>15</v>
      </c>
      <c r="C9" s="2" t="s">
        <v>55</v>
      </c>
      <c r="D9" s="2" t="s">
        <v>56</v>
      </c>
      <c r="E9" s="2" t="s">
        <v>57</v>
      </c>
      <c r="F9" s="2" t="s">
        <v>30</v>
      </c>
      <c r="G9" s="2" t="s">
        <v>20</v>
      </c>
      <c r="H9" s="2" t="s">
        <v>21</v>
      </c>
      <c r="I9" s="2" t="s">
        <v>58</v>
      </c>
      <c r="J9" s="2" t="s">
        <v>23</v>
      </c>
      <c r="K9" s="2" t="s">
        <v>24</v>
      </c>
      <c r="L9" s="2" t="s">
        <v>24</v>
      </c>
      <c r="M9" s="2" t="s">
        <v>25</v>
      </c>
      <c r="N9" s="2" t="s">
        <v>26</v>
      </c>
    </row>
    <row r="10" spans="1:14" ht="78" customHeight="1" x14ac:dyDescent="0.25">
      <c r="A10" s="2" t="s">
        <v>59</v>
      </c>
      <c r="B10" s="2" t="s">
        <v>15</v>
      </c>
      <c r="C10" s="2" t="s">
        <v>60</v>
      </c>
      <c r="D10" s="2" t="s">
        <v>61</v>
      </c>
      <c r="E10" s="2" t="s">
        <v>62</v>
      </c>
      <c r="F10" s="2" t="s">
        <v>35</v>
      </c>
      <c r="G10" s="2" t="s">
        <v>20</v>
      </c>
      <c r="H10" s="2" t="s">
        <v>21</v>
      </c>
      <c r="I10" s="2" t="s">
        <v>63</v>
      </c>
      <c r="J10" s="2" t="s">
        <v>23</v>
      </c>
      <c r="K10" s="2" t="s">
        <v>24</v>
      </c>
      <c r="L10" s="2" t="s">
        <v>24</v>
      </c>
      <c r="M10" s="2" t="s">
        <v>25</v>
      </c>
      <c r="N10" s="2" t="s">
        <v>26</v>
      </c>
    </row>
    <row r="11" spans="1:14" ht="78" customHeight="1" x14ac:dyDescent="0.25">
      <c r="A11" s="2" t="s">
        <v>64</v>
      </c>
      <c r="B11" s="2" t="s">
        <v>15</v>
      </c>
      <c r="C11" s="2" t="s">
        <v>65</v>
      </c>
      <c r="D11" s="2" t="s">
        <v>66</v>
      </c>
      <c r="E11" s="2" t="s">
        <v>67</v>
      </c>
      <c r="F11" s="2" t="s">
        <v>30</v>
      </c>
      <c r="G11" s="2" t="s">
        <v>20</v>
      </c>
      <c r="H11" s="2" t="s">
        <v>21</v>
      </c>
      <c r="I11" s="2" t="s">
        <v>68</v>
      </c>
      <c r="J11" s="2" t="s">
        <v>23</v>
      </c>
      <c r="K11" s="2" t="s">
        <v>24</v>
      </c>
      <c r="L11" s="2" t="s">
        <v>24</v>
      </c>
      <c r="M11" s="2" t="s">
        <v>25</v>
      </c>
      <c r="N11" s="2" t="s">
        <v>26</v>
      </c>
    </row>
    <row r="12" spans="1:14" ht="78" customHeight="1" x14ac:dyDescent="0.25">
      <c r="A12" s="2" t="s">
        <v>69</v>
      </c>
      <c r="B12" s="2" t="s">
        <v>15</v>
      </c>
      <c r="C12" s="2" t="s">
        <v>70</v>
      </c>
      <c r="D12" s="2" t="s">
        <v>71</v>
      </c>
      <c r="E12" s="2" t="s">
        <v>72</v>
      </c>
      <c r="F12" s="2" t="s">
        <v>35</v>
      </c>
      <c r="G12" s="2" t="s">
        <v>20</v>
      </c>
      <c r="H12" s="2" t="s">
        <v>21</v>
      </c>
      <c r="I12" s="2" t="s">
        <v>73</v>
      </c>
      <c r="J12" s="2" t="s">
        <v>23</v>
      </c>
      <c r="K12" s="2" t="s">
        <v>24</v>
      </c>
      <c r="L12" s="2" t="s">
        <v>24</v>
      </c>
      <c r="M12" s="2" t="s">
        <v>25</v>
      </c>
      <c r="N12" s="2" t="s">
        <v>26</v>
      </c>
    </row>
    <row r="13" spans="1:14" ht="78" customHeight="1" x14ac:dyDescent="0.25">
      <c r="A13" s="2" t="s">
        <v>74</v>
      </c>
      <c r="B13" s="2" t="s">
        <v>15</v>
      </c>
      <c r="C13" s="2" t="s">
        <v>75</v>
      </c>
      <c r="D13" s="2" t="s">
        <v>76</v>
      </c>
      <c r="E13" s="2" t="s">
        <v>77</v>
      </c>
      <c r="F13" s="2" t="s">
        <v>19</v>
      </c>
      <c r="G13" s="2" t="s">
        <v>20</v>
      </c>
      <c r="H13" s="2" t="s">
        <v>21</v>
      </c>
      <c r="I13" s="2" t="s">
        <v>78</v>
      </c>
      <c r="J13" s="2" t="s">
        <v>23</v>
      </c>
      <c r="K13" s="2" t="s">
        <v>24</v>
      </c>
      <c r="L13" s="2" t="s">
        <v>24</v>
      </c>
      <c r="M13" s="2" t="s">
        <v>25</v>
      </c>
      <c r="N13" s="2" t="s">
        <v>26</v>
      </c>
    </row>
    <row r="14" spans="1:14" ht="78" customHeight="1" x14ac:dyDescent="0.25">
      <c r="A14" s="2" t="s">
        <v>79</v>
      </c>
      <c r="B14" s="2" t="s">
        <v>15</v>
      </c>
      <c r="C14" s="2" t="s">
        <v>75</v>
      </c>
      <c r="D14" s="2" t="s">
        <v>80</v>
      </c>
      <c r="E14" s="2" t="s">
        <v>81</v>
      </c>
      <c r="F14" s="2" t="s">
        <v>35</v>
      </c>
      <c r="G14" s="2" t="s">
        <v>20</v>
      </c>
      <c r="H14" s="2" t="s">
        <v>21</v>
      </c>
      <c r="I14" s="2" t="s">
        <v>82</v>
      </c>
      <c r="J14" s="2" t="s">
        <v>23</v>
      </c>
      <c r="K14" s="2" t="s">
        <v>24</v>
      </c>
      <c r="L14" s="2" t="s">
        <v>24</v>
      </c>
      <c r="M14" s="2" t="s">
        <v>25</v>
      </c>
      <c r="N14" s="2" t="s">
        <v>26</v>
      </c>
    </row>
    <row r="15" spans="1:14" ht="78" customHeight="1" x14ac:dyDescent="0.25">
      <c r="A15" s="2" t="s">
        <v>83</v>
      </c>
      <c r="B15" s="2" t="s">
        <v>15</v>
      </c>
      <c r="C15" s="2" t="s">
        <v>84</v>
      </c>
      <c r="D15" s="2" t="s">
        <v>85</v>
      </c>
      <c r="E15" s="2" t="s">
        <v>86</v>
      </c>
      <c r="F15" s="2" t="s">
        <v>30</v>
      </c>
      <c r="G15" s="2" t="s">
        <v>20</v>
      </c>
      <c r="H15" s="2" t="s">
        <v>21</v>
      </c>
      <c r="I15" s="2" t="s">
        <v>87</v>
      </c>
      <c r="J15" s="2" t="s">
        <v>23</v>
      </c>
      <c r="K15" s="2" t="s">
        <v>24</v>
      </c>
      <c r="L15" s="2" t="s">
        <v>24</v>
      </c>
      <c r="M15" s="2" t="s">
        <v>25</v>
      </c>
      <c r="N15" s="2" t="s">
        <v>88</v>
      </c>
    </row>
    <row r="16" spans="1:14" ht="78" customHeight="1" x14ac:dyDescent="0.25">
      <c r="A16" s="2" t="s">
        <v>89</v>
      </c>
      <c r="B16" s="2" t="s">
        <v>15</v>
      </c>
      <c r="C16" s="2" t="s">
        <v>90</v>
      </c>
      <c r="D16" s="2" t="s">
        <v>91</v>
      </c>
      <c r="E16" s="2" t="s">
        <v>92</v>
      </c>
      <c r="F16" s="2" t="s">
        <v>30</v>
      </c>
      <c r="G16" s="2" t="s">
        <v>20</v>
      </c>
      <c r="H16" s="2" t="s">
        <v>21</v>
      </c>
      <c r="I16" s="2" t="s">
        <v>93</v>
      </c>
      <c r="J16" s="2" t="s">
        <v>23</v>
      </c>
      <c r="K16" s="2" t="s">
        <v>24</v>
      </c>
      <c r="L16" s="2" t="s">
        <v>24</v>
      </c>
      <c r="M16" s="2" t="s">
        <v>25</v>
      </c>
      <c r="N16" s="2" t="s">
        <v>26</v>
      </c>
    </row>
    <row r="17" spans="1:14" ht="78" customHeight="1" x14ac:dyDescent="0.25">
      <c r="A17" s="2" t="s">
        <v>94</v>
      </c>
      <c r="B17" s="2" t="s">
        <v>15</v>
      </c>
      <c r="C17" s="2" t="s">
        <v>95</v>
      </c>
      <c r="D17" s="2" t="s">
        <v>96</v>
      </c>
      <c r="E17" s="2" t="s">
        <v>97</v>
      </c>
      <c r="F17" s="2" t="s">
        <v>35</v>
      </c>
      <c r="G17" s="2" t="s">
        <v>20</v>
      </c>
      <c r="H17" s="2" t="s">
        <v>21</v>
      </c>
      <c r="I17" s="2" t="s">
        <v>98</v>
      </c>
      <c r="J17" s="2" t="s">
        <v>23</v>
      </c>
      <c r="K17" s="2" t="s">
        <v>24</v>
      </c>
      <c r="L17" s="2" t="s">
        <v>24</v>
      </c>
      <c r="M17" s="2" t="s">
        <v>25</v>
      </c>
      <c r="N17" s="2" t="s">
        <v>26</v>
      </c>
    </row>
    <row r="18" spans="1:14" ht="78" customHeight="1" x14ac:dyDescent="0.25">
      <c r="A18" s="2" t="s">
        <v>99</v>
      </c>
      <c r="B18" s="2" t="s">
        <v>15</v>
      </c>
      <c r="C18" s="2" t="s">
        <v>100</v>
      </c>
      <c r="D18" s="2" t="s">
        <v>101</v>
      </c>
      <c r="E18" s="2" t="s">
        <v>102</v>
      </c>
      <c r="F18" s="2" t="s">
        <v>35</v>
      </c>
      <c r="G18" s="2" t="s">
        <v>20</v>
      </c>
      <c r="H18" s="2" t="s">
        <v>21</v>
      </c>
      <c r="I18" s="2" t="s">
        <v>103</v>
      </c>
      <c r="J18" s="2" t="s">
        <v>23</v>
      </c>
      <c r="K18" s="2" t="s">
        <v>24</v>
      </c>
      <c r="L18" s="2" t="s">
        <v>24</v>
      </c>
      <c r="M18" s="2" t="s">
        <v>25</v>
      </c>
      <c r="N18" s="2" t="s">
        <v>26</v>
      </c>
    </row>
    <row r="19" spans="1:14" ht="78" customHeight="1" x14ac:dyDescent="0.25">
      <c r="A19" s="2" t="s">
        <v>104</v>
      </c>
      <c r="B19" s="2" t="s">
        <v>15</v>
      </c>
      <c r="C19" s="2" t="s">
        <v>70</v>
      </c>
      <c r="D19" s="2" t="s">
        <v>105</v>
      </c>
      <c r="E19" s="2" t="s">
        <v>106</v>
      </c>
      <c r="F19" s="2" t="s">
        <v>35</v>
      </c>
      <c r="G19" s="2" t="s">
        <v>20</v>
      </c>
      <c r="H19" s="2" t="s">
        <v>21</v>
      </c>
      <c r="I19" s="2" t="s">
        <v>107</v>
      </c>
      <c r="J19" s="2" t="s">
        <v>23</v>
      </c>
      <c r="K19" s="2" t="s">
        <v>24</v>
      </c>
      <c r="L19" s="2" t="s">
        <v>24</v>
      </c>
      <c r="M19" s="2" t="s">
        <v>25</v>
      </c>
      <c r="N19" s="2" t="s">
        <v>26</v>
      </c>
    </row>
    <row r="20" spans="1:14" ht="78" customHeight="1" x14ac:dyDescent="0.25">
      <c r="A20" s="2" t="s">
        <v>108</v>
      </c>
      <c r="B20" s="2" t="s">
        <v>15</v>
      </c>
      <c r="C20" s="2" t="s">
        <v>109</v>
      </c>
      <c r="D20" s="2" t="s">
        <v>110</v>
      </c>
      <c r="E20" s="2" t="s">
        <v>111</v>
      </c>
      <c r="F20" s="2" t="s">
        <v>35</v>
      </c>
      <c r="G20" s="2" t="s">
        <v>20</v>
      </c>
      <c r="H20" s="2" t="s">
        <v>21</v>
      </c>
      <c r="I20" s="2" t="s">
        <v>112</v>
      </c>
      <c r="J20" s="2" t="s">
        <v>23</v>
      </c>
      <c r="K20" s="2" t="s">
        <v>24</v>
      </c>
      <c r="L20" s="2" t="s">
        <v>24</v>
      </c>
      <c r="M20" s="2" t="s">
        <v>25</v>
      </c>
      <c r="N20" s="2" t="s">
        <v>113</v>
      </c>
    </row>
    <row r="21" spans="1:14" ht="78" customHeight="1" x14ac:dyDescent="0.25">
      <c r="A21" s="2" t="s">
        <v>114</v>
      </c>
      <c r="B21" s="2" t="s">
        <v>15</v>
      </c>
      <c r="C21" s="2" t="s">
        <v>115</v>
      </c>
      <c r="D21" s="2" t="s">
        <v>116</v>
      </c>
      <c r="E21" s="2" t="s">
        <v>117</v>
      </c>
      <c r="F21" s="2" t="s">
        <v>35</v>
      </c>
      <c r="G21" s="2" t="s">
        <v>20</v>
      </c>
      <c r="H21" s="2" t="s">
        <v>21</v>
      </c>
      <c r="I21" s="2" t="s">
        <v>118</v>
      </c>
      <c r="J21" s="2" t="s">
        <v>23</v>
      </c>
      <c r="K21" s="2" t="s">
        <v>24</v>
      </c>
      <c r="L21" s="2" t="s">
        <v>24</v>
      </c>
      <c r="M21" s="2" t="s">
        <v>25</v>
      </c>
      <c r="N21" s="2" t="s">
        <v>26</v>
      </c>
    </row>
    <row r="22" spans="1:14" ht="78" customHeight="1" x14ac:dyDescent="0.25">
      <c r="A22" s="2" t="s">
        <v>119</v>
      </c>
      <c r="B22" s="2" t="s">
        <v>120</v>
      </c>
      <c r="C22" s="2" t="s">
        <v>121</v>
      </c>
      <c r="D22" s="2" t="s">
        <v>122</v>
      </c>
      <c r="E22" s="2" t="s">
        <v>123</v>
      </c>
      <c r="F22" s="2" t="s">
        <v>30</v>
      </c>
      <c r="G22" s="2" t="s">
        <v>20</v>
      </c>
      <c r="H22" s="2" t="s">
        <v>21</v>
      </c>
      <c r="I22" s="2" t="s">
        <v>124</v>
      </c>
      <c r="J22" s="2" t="s">
        <v>23</v>
      </c>
      <c r="K22" s="2" t="s">
        <v>24</v>
      </c>
      <c r="L22" s="2" t="s">
        <v>24</v>
      </c>
      <c r="M22" s="2" t="s">
        <v>25</v>
      </c>
      <c r="N22" s="2" t="s">
        <v>125</v>
      </c>
    </row>
    <row r="23" spans="1:14" ht="78" customHeight="1" x14ac:dyDescent="0.25">
      <c r="A23" s="2" t="s">
        <v>126</v>
      </c>
      <c r="B23" s="2" t="s">
        <v>120</v>
      </c>
      <c r="C23" s="2" t="s">
        <v>127</v>
      </c>
      <c r="D23" s="2" t="s">
        <v>128</v>
      </c>
      <c r="E23" s="2" t="s">
        <v>129</v>
      </c>
      <c r="F23" s="2" t="s">
        <v>30</v>
      </c>
      <c r="G23" s="2" t="s">
        <v>20</v>
      </c>
      <c r="H23" s="2" t="s">
        <v>21</v>
      </c>
      <c r="I23" s="2" t="s">
        <v>130</v>
      </c>
      <c r="J23" s="2" t="s">
        <v>23</v>
      </c>
      <c r="K23" s="2" t="s">
        <v>24</v>
      </c>
      <c r="L23" s="2" t="s">
        <v>24</v>
      </c>
      <c r="M23" s="2" t="s">
        <v>25</v>
      </c>
      <c r="N23" s="2" t="s">
        <v>125</v>
      </c>
    </row>
    <row r="24" spans="1:14" ht="78" customHeight="1" x14ac:dyDescent="0.25">
      <c r="A24" s="2" t="s">
        <v>131</v>
      </c>
      <c r="B24" s="2" t="s">
        <v>120</v>
      </c>
      <c r="C24" s="2" t="s">
        <v>127</v>
      </c>
      <c r="D24" s="2" t="s">
        <v>132</v>
      </c>
      <c r="E24" s="2" t="s">
        <v>133</v>
      </c>
      <c r="F24" s="2" t="s">
        <v>30</v>
      </c>
      <c r="G24" s="2" t="s">
        <v>20</v>
      </c>
      <c r="H24" s="2" t="s">
        <v>21</v>
      </c>
      <c r="I24" s="2" t="s">
        <v>130</v>
      </c>
      <c r="J24" s="2" t="s">
        <v>23</v>
      </c>
      <c r="K24" s="2" t="s">
        <v>24</v>
      </c>
      <c r="L24" s="2" t="s">
        <v>24</v>
      </c>
      <c r="M24" s="2" t="s">
        <v>25</v>
      </c>
      <c r="N24" s="2" t="s">
        <v>125</v>
      </c>
    </row>
    <row r="25" spans="1:14" ht="78" customHeight="1" x14ac:dyDescent="0.25">
      <c r="A25" s="2" t="s">
        <v>134</v>
      </c>
      <c r="B25" s="2" t="s">
        <v>120</v>
      </c>
      <c r="C25" s="2" t="s">
        <v>127</v>
      </c>
      <c r="D25" s="2" t="s">
        <v>135</v>
      </c>
      <c r="E25" s="2" t="s">
        <v>136</v>
      </c>
      <c r="F25" s="2" t="s">
        <v>30</v>
      </c>
      <c r="G25" s="2" t="s">
        <v>20</v>
      </c>
      <c r="H25" s="2" t="s">
        <v>21</v>
      </c>
      <c r="I25" s="2" t="s">
        <v>130</v>
      </c>
      <c r="J25" s="2" t="s">
        <v>23</v>
      </c>
      <c r="K25" s="2" t="s">
        <v>24</v>
      </c>
      <c r="L25" s="2" t="s">
        <v>24</v>
      </c>
      <c r="M25" s="2" t="s">
        <v>25</v>
      </c>
      <c r="N25" s="2" t="s">
        <v>125</v>
      </c>
    </row>
    <row r="26" spans="1:14" ht="78" customHeight="1" x14ac:dyDescent="0.25">
      <c r="A26" s="2" t="s">
        <v>137</v>
      </c>
      <c r="B26" s="2" t="s">
        <v>120</v>
      </c>
      <c r="C26" s="2" t="s">
        <v>127</v>
      </c>
      <c r="D26" s="2" t="s">
        <v>138</v>
      </c>
      <c r="E26" s="2" t="s">
        <v>139</v>
      </c>
      <c r="F26" s="2" t="s">
        <v>30</v>
      </c>
      <c r="G26" s="2" t="s">
        <v>140</v>
      </c>
      <c r="H26" s="2" t="s">
        <v>141</v>
      </c>
      <c r="I26" s="2" t="s">
        <v>130</v>
      </c>
      <c r="J26" s="2" t="s">
        <v>142</v>
      </c>
      <c r="K26" s="2" t="s">
        <v>24</v>
      </c>
      <c r="L26" s="2" t="s">
        <v>24</v>
      </c>
      <c r="M26" s="2" t="s">
        <v>25</v>
      </c>
      <c r="N26" s="2" t="s">
        <v>125</v>
      </c>
    </row>
    <row r="27" spans="1:14" ht="78" customHeight="1" x14ac:dyDescent="0.25">
      <c r="A27" s="2" t="s">
        <v>143</v>
      </c>
      <c r="B27" s="2" t="s">
        <v>120</v>
      </c>
      <c r="C27" s="2" t="s">
        <v>16</v>
      </c>
      <c r="D27" s="2" t="s">
        <v>144</v>
      </c>
      <c r="E27" s="2" t="s">
        <v>145</v>
      </c>
      <c r="F27" s="2" t="s">
        <v>19</v>
      </c>
      <c r="G27" s="2" t="s">
        <v>20</v>
      </c>
      <c r="H27" s="2" t="s">
        <v>21</v>
      </c>
      <c r="I27" s="2" t="s">
        <v>146</v>
      </c>
      <c r="J27" s="2" t="s">
        <v>23</v>
      </c>
      <c r="K27" s="2" t="s">
        <v>24</v>
      </c>
      <c r="L27" s="2" t="s">
        <v>24</v>
      </c>
      <c r="M27" s="2" t="s">
        <v>25</v>
      </c>
      <c r="N27" s="2" t="s">
        <v>125</v>
      </c>
    </row>
    <row r="28" spans="1:14" ht="78" customHeight="1" x14ac:dyDescent="0.25">
      <c r="A28" s="2" t="s">
        <v>147</v>
      </c>
      <c r="B28" s="2" t="s">
        <v>120</v>
      </c>
      <c r="C28" s="2" t="s">
        <v>115</v>
      </c>
      <c r="D28" s="2" t="s">
        <v>148</v>
      </c>
      <c r="E28" s="2" t="s">
        <v>149</v>
      </c>
      <c r="F28" s="2" t="s">
        <v>30</v>
      </c>
      <c r="G28" s="2" t="s">
        <v>20</v>
      </c>
      <c r="H28" s="2" t="s">
        <v>21</v>
      </c>
      <c r="I28" s="2" t="s">
        <v>150</v>
      </c>
      <c r="J28" s="2" t="s">
        <v>23</v>
      </c>
      <c r="K28" s="2" t="s">
        <v>24</v>
      </c>
      <c r="L28" s="2" t="s">
        <v>24</v>
      </c>
      <c r="M28" s="2" t="s">
        <v>25</v>
      </c>
      <c r="N28" s="2" t="s">
        <v>125</v>
      </c>
    </row>
    <row r="29" spans="1:14" ht="78" customHeight="1" x14ac:dyDescent="0.25">
      <c r="A29" s="2" t="s">
        <v>151</v>
      </c>
      <c r="B29" s="2" t="s">
        <v>120</v>
      </c>
      <c r="C29" s="2" t="s">
        <v>115</v>
      </c>
      <c r="D29" s="2" t="s">
        <v>152</v>
      </c>
      <c r="E29" s="2" t="s">
        <v>153</v>
      </c>
      <c r="F29" s="2" t="s">
        <v>30</v>
      </c>
      <c r="G29" s="2" t="s">
        <v>20</v>
      </c>
      <c r="H29" s="2" t="s">
        <v>21</v>
      </c>
      <c r="I29" s="2" t="s">
        <v>150</v>
      </c>
      <c r="J29" s="2" t="s">
        <v>23</v>
      </c>
      <c r="K29" s="2" t="s">
        <v>24</v>
      </c>
      <c r="L29" s="2" t="s">
        <v>24</v>
      </c>
      <c r="M29" s="2" t="s">
        <v>25</v>
      </c>
      <c r="N29" s="2" t="s">
        <v>125</v>
      </c>
    </row>
    <row r="30" spans="1:14" ht="78" customHeight="1" x14ac:dyDescent="0.25">
      <c r="A30" s="2" t="s">
        <v>154</v>
      </c>
      <c r="B30" s="2" t="s">
        <v>120</v>
      </c>
      <c r="C30" s="2" t="s">
        <v>155</v>
      </c>
      <c r="D30" s="2" t="s">
        <v>156</v>
      </c>
      <c r="E30" s="2" t="s">
        <v>157</v>
      </c>
      <c r="F30" s="2" t="s">
        <v>30</v>
      </c>
      <c r="G30" s="2" t="s">
        <v>20</v>
      </c>
      <c r="H30" s="2" t="s">
        <v>21</v>
      </c>
      <c r="I30" s="2" t="s">
        <v>158</v>
      </c>
      <c r="J30" s="2" t="s">
        <v>23</v>
      </c>
      <c r="K30" s="2" t="s">
        <v>24</v>
      </c>
      <c r="L30" s="2" t="s">
        <v>24</v>
      </c>
      <c r="M30" s="2" t="s">
        <v>25</v>
      </c>
      <c r="N30" s="2" t="s">
        <v>125</v>
      </c>
    </row>
    <row r="31" spans="1:14" ht="78" customHeight="1" x14ac:dyDescent="0.25">
      <c r="A31" s="2" t="s">
        <v>159</v>
      </c>
      <c r="B31" s="2" t="s">
        <v>120</v>
      </c>
      <c r="C31" s="2" t="s">
        <v>155</v>
      </c>
      <c r="D31" s="2" t="s">
        <v>160</v>
      </c>
      <c r="E31" s="2" t="s">
        <v>161</v>
      </c>
      <c r="F31" s="2" t="s">
        <v>30</v>
      </c>
      <c r="G31" s="2" t="s">
        <v>20</v>
      </c>
      <c r="H31" s="2" t="s">
        <v>21</v>
      </c>
      <c r="I31" s="2" t="s">
        <v>158</v>
      </c>
      <c r="J31" s="2" t="s">
        <v>23</v>
      </c>
      <c r="K31" s="2" t="s">
        <v>24</v>
      </c>
      <c r="L31" s="2" t="s">
        <v>24</v>
      </c>
      <c r="M31" s="2" t="s">
        <v>25</v>
      </c>
      <c r="N31" s="2" t="s">
        <v>125</v>
      </c>
    </row>
    <row r="32" spans="1:14" ht="78" customHeight="1" x14ac:dyDescent="0.25">
      <c r="A32" s="2" t="s">
        <v>162</v>
      </c>
      <c r="B32" s="2" t="s">
        <v>120</v>
      </c>
      <c r="C32" s="2" t="s">
        <v>155</v>
      </c>
      <c r="D32" s="2" t="s">
        <v>163</v>
      </c>
      <c r="E32" s="2" t="s">
        <v>164</v>
      </c>
      <c r="F32" s="2" t="s">
        <v>30</v>
      </c>
      <c r="G32" s="2" t="s">
        <v>20</v>
      </c>
      <c r="H32" s="2" t="s">
        <v>21</v>
      </c>
      <c r="I32" s="2" t="s">
        <v>158</v>
      </c>
      <c r="J32" s="2" t="s">
        <v>23</v>
      </c>
      <c r="K32" s="2" t="s">
        <v>24</v>
      </c>
      <c r="L32" s="2" t="s">
        <v>24</v>
      </c>
      <c r="M32" s="2" t="s">
        <v>25</v>
      </c>
      <c r="N32" s="2" t="s">
        <v>125</v>
      </c>
    </row>
    <row r="33" spans="1:14" ht="78" customHeight="1" x14ac:dyDescent="0.25">
      <c r="A33" s="2" t="s">
        <v>165</v>
      </c>
      <c r="B33" s="2" t="s">
        <v>120</v>
      </c>
      <c r="C33" s="2" t="s">
        <v>100</v>
      </c>
      <c r="D33" s="2" t="s">
        <v>166</v>
      </c>
      <c r="E33" s="2" t="s">
        <v>167</v>
      </c>
      <c r="F33" s="2" t="s">
        <v>19</v>
      </c>
      <c r="G33" s="2" t="s">
        <v>20</v>
      </c>
      <c r="H33" s="2" t="s">
        <v>21</v>
      </c>
      <c r="I33" s="2" t="s">
        <v>168</v>
      </c>
      <c r="J33" s="2" t="s">
        <v>23</v>
      </c>
      <c r="K33" s="2" t="s">
        <v>24</v>
      </c>
      <c r="L33" s="2" t="s">
        <v>24</v>
      </c>
      <c r="M33" s="2" t="s">
        <v>25</v>
      </c>
      <c r="N33" s="2" t="s">
        <v>125</v>
      </c>
    </row>
    <row r="34" spans="1:14" ht="78" customHeight="1" x14ac:dyDescent="0.25">
      <c r="A34" s="2" t="s">
        <v>169</v>
      </c>
      <c r="B34" s="2" t="s">
        <v>120</v>
      </c>
      <c r="C34" s="2" t="s">
        <v>170</v>
      </c>
      <c r="D34" s="2" t="s">
        <v>171</v>
      </c>
      <c r="E34" s="2" t="s">
        <v>172</v>
      </c>
      <c r="F34" s="2" t="s">
        <v>19</v>
      </c>
      <c r="G34" s="2" t="s">
        <v>20</v>
      </c>
      <c r="H34" s="2" t="s">
        <v>21</v>
      </c>
      <c r="I34" s="2" t="s">
        <v>173</v>
      </c>
      <c r="J34" s="2" t="s">
        <v>23</v>
      </c>
      <c r="K34" s="2" t="s">
        <v>24</v>
      </c>
      <c r="L34" s="2" t="s">
        <v>24</v>
      </c>
      <c r="M34" s="2" t="s">
        <v>25</v>
      </c>
      <c r="N34" s="2" t="s">
        <v>125</v>
      </c>
    </row>
    <row r="35" spans="1:14" ht="78" customHeight="1" x14ac:dyDescent="0.25">
      <c r="A35" s="2" t="s">
        <v>174</v>
      </c>
      <c r="B35" s="2" t="s">
        <v>120</v>
      </c>
      <c r="C35" s="2" t="s">
        <v>175</v>
      </c>
      <c r="D35" s="2" t="s">
        <v>176</v>
      </c>
      <c r="E35" s="2" t="s">
        <v>177</v>
      </c>
      <c r="F35" s="2" t="s">
        <v>30</v>
      </c>
      <c r="G35" s="2" t="s">
        <v>20</v>
      </c>
      <c r="H35" s="2" t="s">
        <v>21</v>
      </c>
      <c r="I35" s="2" t="s">
        <v>178</v>
      </c>
      <c r="J35" s="2" t="s">
        <v>23</v>
      </c>
      <c r="K35" s="2" t="s">
        <v>24</v>
      </c>
      <c r="L35" s="2" t="s">
        <v>24</v>
      </c>
      <c r="M35" s="2" t="s">
        <v>25</v>
      </c>
      <c r="N35" s="2" t="s">
        <v>125</v>
      </c>
    </row>
    <row r="36" spans="1:14" ht="78" customHeight="1" x14ac:dyDescent="0.25">
      <c r="A36" s="2" t="s">
        <v>179</v>
      </c>
      <c r="B36" s="2" t="s">
        <v>120</v>
      </c>
      <c r="C36" s="2" t="s">
        <v>180</v>
      </c>
      <c r="D36" s="2" t="s">
        <v>181</v>
      </c>
      <c r="E36" s="2" t="s">
        <v>182</v>
      </c>
      <c r="F36" s="2" t="s">
        <v>19</v>
      </c>
      <c r="G36" s="2" t="s">
        <v>20</v>
      </c>
      <c r="H36" s="2" t="s">
        <v>21</v>
      </c>
      <c r="I36" s="2" t="s">
        <v>130</v>
      </c>
      <c r="J36" s="2" t="s">
        <v>23</v>
      </c>
      <c r="K36" s="2" t="s">
        <v>24</v>
      </c>
      <c r="L36" s="2" t="s">
        <v>24</v>
      </c>
      <c r="M36" s="2" t="s">
        <v>25</v>
      </c>
      <c r="N36" s="2" t="s">
        <v>125</v>
      </c>
    </row>
    <row r="37" spans="1:14" ht="78" customHeight="1" x14ac:dyDescent="0.25">
      <c r="A37" s="2" t="s">
        <v>183</v>
      </c>
      <c r="B37" s="2" t="s">
        <v>120</v>
      </c>
      <c r="C37" s="2" t="s">
        <v>175</v>
      </c>
      <c r="D37" s="2" t="s">
        <v>184</v>
      </c>
      <c r="E37" s="2" t="s">
        <v>185</v>
      </c>
      <c r="F37" s="2" t="s">
        <v>19</v>
      </c>
      <c r="G37" s="2" t="s">
        <v>20</v>
      </c>
      <c r="H37" s="2" t="s">
        <v>21</v>
      </c>
      <c r="I37" s="2" t="s">
        <v>178</v>
      </c>
      <c r="J37" s="2" t="s">
        <v>23</v>
      </c>
      <c r="K37" s="2" t="s">
        <v>24</v>
      </c>
      <c r="L37" s="2" t="s">
        <v>24</v>
      </c>
      <c r="M37" s="2" t="s">
        <v>25</v>
      </c>
      <c r="N37" s="2" t="s">
        <v>125</v>
      </c>
    </row>
    <row r="38" spans="1:14" ht="78" customHeight="1" x14ac:dyDescent="0.25">
      <c r="A38" s="2" t="s">
        <v>186</v>
      </c>
      <c r="B38" s="2" t="s">
        <v>120</v>
      </c>
      <c r="C38" s="2" t="s">
        <v>100</v>
      </c>
      <c r="D38" s="2" t="s">
        <v>187</v>
      </c>
      <c r="E38" s="2" t="s">
        <v>188</v>
      </c>
      <c r="F38" s="2" t="s">
        <v>19</v>
      </c>
      <c r="G38" s="2" t="s">
        <v>20</v>
      </c>
      <c r="H38" s="2" t="s">
        <v>21</v>
      </c>
      <c r="I38" s="2" t="s">
        <v>168</v>
      </c>
      <c r="J38" s="2" t="s">
        <v>23</v>
      </c>
      <c r="K38" s="2" t="s">
        <v>24</v>
      </c>
      <c r="L38" s="2" t="s">
        <v>24</v>
      </c>
      <c r="M38" s="2" t="s">
        <v>25</v>
      </c>
      <c r="N38" s="2" t="s">
        <v>125</v>
      </c>
    </row>
    <row r="39" spans="1:14" ht="78" customHeight="1" x14ac:dyDescent="0.25">
      <c r="A39" s="2" t="s">
        <v>189</v>
      </c>
      <c r="B39" s="2" t="s">
        <v>120</v>
      </c>
      <c r="C39" s="2" t="s">
        <v>190</v>
      </c>
      <c r="D39" s="2" t="s">
        <v>191</v>
      </c>
      <c r="E39" s="2" t="s">
        <v>192</v>
      </c>
      <c r="F39" s="2" t="s">
        <v>19</v>
      </c>
      <c r="G39" s="2" t="s">
        <v>20</v>
      </c>
      <c r="H39" s="2" t="s">
        <v>21</v>
      </c>
      <c r="I39" s="2" t="s">
        <v>193</v>
      </c>
      <c r="J39" s="2" t="s">
        <v>23</v>
      </c>
      <c r="K39" s="2" t="s">
        <v>24</v>
      </c>
      <c r="L39" s="2" t="s">
        <v>24</v>
      </c>
      <c r="M39" s="2" t="s">
        <v>25</v>
      </c>
      <c r="N39" s="2" t="s">
        <v>125</v>
      </c>
    </row>
    <row r="40" spans="1:14" ht="78" customHeight="1" x14ac:dyDescent="0.25">
      <c r="A40" s="2" t="s">
        <v>194</v>
      </c>
      <c r="B40" s="2" t="s">
        <v>120</v>
      </c>
      <c r="C40" s="2" t="s">
        <v>190</v>
      </c>
      <c r="D40" s="2" t="s">
        <v>195</v>
      </c>
      <c r="E40" s="2" t="s">
        <v>196</v>
      </c>
      <c r="F40" s="2" t="s">
        <v>19</v>
      </c>
      <c r="G40" s="2" t="s">
        <v>20</v>
      </c>
      <c r="H40" s="2" t="s">
        <v>21</v>
      </c>
      <c r="I40" s="2" t="s">
        <v>193</v>
      </c>
      <c r="J40" s="2" t="s">
        <v>23</v>
      </c>
      <c r="K40" s="2" t="s">
        <v>24</v>
      </c>
      <c r="L40" s="2" t="s">
        <v>24</v>
      </c>
      <c r="M40" s="2" t="s">
        <v>25</v>
      </c>
      <c r="N40" s="2" t="s">
        <v>125</v>
      </c>
    </row>
    <row r="41" spans="1:14" ht="78" customHeight="1" x14ac:dyDescent="0.25">
      <c r="A41" s="2" t="s">
        <v>197</v>
      </c>
      <c r="B41" s="2" t="s">
        <v>120</v>
      </c>
      <c r="C41" s="2" t="s">
        <v>190</v>
      </c>
      <c r="D41" s="2" t="s">
        <v>198</v>
      </c>
      <c r="E41" s="2" t="s">
        <v>199</v>
      </c>
      <c r="F41" s="2" t="s">
        <v>19</v>
      </c>
      <c r="G41" s="2" t="s">
        <v>20</v>
      </c>
      <c r="H41" s="2" t="s">
        <v>21</v>
      </c>
      <c r="I41" s="2" t="s">
        <v>193</v>
      </c>
      <c r="J41" s="2" t="s">
        <v>23</v>
      </c>
      <c r="K41" s="2" t="s">
        <v>24</v>
      </c>
      <c r="L41" s="2" t="s">
        <v>24</v>
      </c>
      <c r="M41" s="2" t="s">
        <v>25</v>
      </c>
      <c r="N41" s="2" t="s">
        <v>125</v>
      </c>
    </row>
    <row r="42" spans="1:14" ht="78" customHeight="1" x14ac:dyDescent="0.25">
      <c r="A42" s="2" t="s">
        <v>200</v>
      </c>
      <c r="B42" s="2" t="s">
        <v>120</v>
      </c>
      <c r="C42" s="2" t="s">
        <v>190</v>
      </c>
      <c r="D42" s="2" t="s">
        <v>201</v>
      </c>
      <c r="E42" s="2" t="s">
        <v>202</v>
      </c>
      <c r="F42" s="2" t="s">
        <v>19</v>
      </c>
      <c r="G42" s="2" t="s">
        <v>20</v>
      </c>
      <c r="H42" s="2" t="s">
        <v>21</v>
      </c>
      <c r="I42" s="2" t="s">
        <v>193</v>
      </c>
      <c r="J42" s="2" t="s">
        <v>23</v>
      </c>
      <c r="K42" s="2" t="s">
        <v>24</v>
      </c>
      <c r="L42" s="2" t="s">
        <v>24</v>
      </c>
      <c r="M42" s="2" t="s">
        <v>25</v>
      </c>
      <c r="N42" s="2" t="s">
        <v>125</v>
      </c>
    </row>
    <row r="43" spans="1:14" ht="78" customHeight="1" x14ac:dyDescent="0.25">
      <c r="A43" s="2" t="s">
        <v>203</v>
      </c>
      <c r="B43" s="2" t="s">
        <v>120</v>
      </c>
      <c r="C43" s="2" t="s">
        <v>190</v>
      </c>
      <c r="D43" s="2" t="s">
        <v>204</v>
      </c>
      <c r="E43" s="2" t="s">
        <v>205</v>
      </c>
      <c r="F43" s="2" t="s">
        <v>30</v>
      </c>
      <c r="G43" s="2" t="s">
        <v>140</v>
      </c>
      <c r="H43" s="2" t="s">
        <v>141</v>
      </c>
      <c r="I43" s="2" t="s">
        <v>193</v>
      </c>
      <c r="J43" s="2" t="s">
        <v>142</v>
      </c>
      <c r="K43" s="2" t="s">
        <v>24</v>
      </c>
      <c r="L43" s="2" t="s">
        <v>24</v>
      </c>
      <c r="M43" s="2" t="s">
        <v>25</v>
      </c>
      <c r="N43" s="2" t="s">
        <v>125</v>
      </c>
    </row>
    <row r="44" spans="1:14" ht="78" customHeight="1" x14ac:dyDescent="0.25">
      <c r="A44" s="2" t="s">
        <v>206</v>
      </c>
      <c r="B44" s="2" t="s">
        <v>120</v>
      </c>
      <c r="C44" s="2" t="s">
        <v>207</v>
      </c>
      <c r="D44" s="2" t="s">
        <v>208</v>
      </c>
      <c r="E44" s="2" t="s">
        <v>209</v>
      </c>
      <c r="F44" s="2" t="s">
        <v>19</v>
      </c>
      <c r="G44" s="2" t="s">
        <v>20</v>
      </c>
      <c r="H44" s="2" t="s">
        <v>21</v>
      </c>
      <c r="I44" s="2" t="s">
        <v>210</v>
      </c>
      <c r="J44" s="2" t="s">
        <v>23</v>
      </c>
      <c r="K44" s="2" t="s">
        <v>24</v>
      </c>
      <c r="L44" s="2" t="s">
        <v>24</v>
      </c>
      <c r="M44" s="2" t="s">
        <v>25</v>
      </c>
      <c r="N44" s="2" t="s">
        <v>125</v>
      </c>
    </row>
    <row r="45" spans="1:14" ht="78" customHeight="1" x14ac:dyDescent="0.25">
      <c r="A45" s="2" t="s">
        <v>211</v>
      </c>
      <c r="B45" s="2" t="s">
        <v>120</v>
      </c>
      <c r="C45" s="2" t="s">
        <v>207</v>
      </c>
      <c r="D45" s="2" t="s">
        <v>212</v>
      </c>
      <c r="E45" s="2" t="s">
        <v>213</v>
      </c>
      <c r="F45" s="2" t="s">
        <v>30</v>
      </c>
      <c r="G45" s="2" t="s">
        <v>20</v>
      </c>
      <c r="H45" s="2" t="s">
        <v>21</v>
      </c>
      <c r="I45" s="2" t="s">
        <v>210</v>
      </c>
      <c r="J45" s="2" t="s">
        <v>23</v>
      </c>
      <c r="K45" s="2" t="s">
        <v>24</v>
      </c>
      <c r="L45" s="2" t="s">
        <v>24</v>
      </c>
      <c r="M45" s="2" t="s">
        <v>25</v>
      </c>
      <c r="N45" s="2" t="s">
        <v>125</v>
      </c>
    </row>
    <row r="46" spans="1:14" ht="78" customHeight="1" x14ac:dyDescent="0.25">
      <c r="A46" s="2" t="s">
        <v>214</v>
      </c>
      <c r="B46" s="2" t="s">
        <v>120</v>
      </c>
      <c r="C46" s="2" t="s">
        <v>207</v>
      </c>
      <c r="D46" s="2" t="s">
        <v>215</v>
      </c>
      <c r="E46" s="2" t="s">
        <v>216</v>
      </c>
      <c r="F46" s="2" t="s">
        <v>35</v>
      </c>
      <c r="G46" s="2" t="s">
        <v>20</v>
      </c>
      <c r="H46" s="2" t="s">
        <v>21</v>
      </c>
      <c r="I46" s="2" t="s">
        <v>210</v>
      </c>
      <c r="J46" s="2" t="s">
        <v>23</v>
      </c>
      <c r="K46" s="2" t="s">
        <v>24</v>
      </c>
      <c r="L46" s="2" t="s">
        <v>24</v>
      </c>
      <c r="M46" s="2" t="s">
        <v>25</v>
      </c>
      <c r="N46" s="2" t="s">
        <v>125</v>
      </c>
    </row>
    <row r="47" spans="1:14" ht="78" customHeight="1" x14ac:dyDescent="0.25">
      <c r="A47" s="2" t="s">
        <v>217</v>
      </c>
      <c r="B47" s="2" t="s">
        <v>120</v>
      </c>
      <c r="C47" s="2" t="s">
        <v>207</v>
      </c>
      <c r="D47" s="2" t="s">
        <v>218</v>
      </c>
      <c r="E47" s="2" t="s">
        <v>219</v>
      </c>
      <c r="F47" s="2" t="s">
        <v>35</v>
      </c>
      <c r="G47" s="2" t="s">
        <v>20</v>
      </c>
      <c r="H47" s="2" t="s">
        <v>21</v>
      </c>
      <c r="I47" s="2" t="s">
        <v>210</v>
      </c>
      <c r="J47" s="2" t="s">
        <v>23</v>
      </c>
      <c r="K47" s="2" t="s">
        <v>24</v>
      </c>
      <c r="L47" s="2" t="s">
        <v>24</v>
      </c>
      <c r="M47" s="2" t="s">
        <v>25</v>
      </c>
      <c r="N47" s="2" t="s">
        <v>125</v>
      </c>
    </row>
    <row r="48" spans="1:14" ht="78" customHeight="1" x14ac:dyDescent="0.25">
      <c r="A48" s="2" t="s">
        <v>220</v>
      </c>
      <c r="B48" s="2" t="s">
        <v>120</v>
      </c>
      <c r="C48" s="2" t="s">
        <v>207</v>
      </c>
      <c r="D48" s="2" t="s">
        <v>221</v>
      </c>
      <c r="E48" s="2" t="s">
        <v>222</v>
      </c>
      <c r="F48" s="2" t="s">
        <v>30</v>
      </c>
      <c r="G48" s="2" t="s">
        <v>20</v>
      </c>
      <c r="H48" s="2" t="s">
        <v>21</v>
      </c>
      <c r="I48" s="2" t="s">
        <v>210</v>
      </c>
      <c r="J48" s="2" t="s">
        <v>23</v>
      </c>
      <c r="K48" s="2" t="s">
        <v>24</v>
      </c>
      <c r="L48" s="2" t="s">
        <v>24</v>
      </c>
      <c r="M48" s="2" t="s">
        <v>25</v>
      </c>
      <c r="N48" s="2" t="s">
        <v>125</v>
      </c>
    </row>
    <row r="49" spans="1:14" ht="78" customHeight="1" x14ac:dyDescent="0.25">
      <c r="A49" s="2" t="s">
        <v>223</v>
      </c>
      <c r="B49" s="2" t="s">
        <v>120</v>
      </c>
      <c r="C49" s="2" t="s">
        <v>224</v>
      </c>
      <c r="D49" s="2" t="s">
        <v>225</v>
      </c>
      <c r="E49" s="2" t="s">
        <v>226</v>
      </c>
      <c r="F49" s="2" t="s">
        <v>30</v>
      </c>
      <c r="G49" s="2" t="s">
        <v>20</v>
      </c>
      <c r="H49" s="2" t="s">
        <v>21</v>
      </c>
      <c r="I49" s="2" t="s">
        <v>130</v>
      </c>
      <c r="J49" s="2" t="s">
        <v>23</v>
      </c>
      <c r="K49" s="2" t="s">
        <v>24</v>
      </c>
      <c r="L49" s="2" t="s">
        <v>24</v>
      </c>
      <c r="M49" s="2" t="s">
        <v>25</v>
      </c>
      <c r="N49" s="2" t="s">
        <v>125</v>
      </c>
    </row>
    <row r="50" spans="1:14" ht="78" customHeight="1" x14ac:dyDescent="0.25">
      <c r="A50" s="2" t="s">
        <v>227</v>
      </c>
      <c r="B50" s="2" t="s">
        <v>120</v>
      </c>
      <c r="C50" s="2" t="s">
        <v>224</v>
      </c>
      <c r="D50" s="2" t="s">
        <v>228</v>
      </c>
      <c r="E50" s="2" t="s">
        <v>229</v>
      </c>
      <c r="F50" s="2" t="s">
        <v>19</v>
      </c>
      <c r="G50" s="2" t="s">
        <v>20</v>
      </c>
      <c r="H50" s="2" t="s">
        <v>21</v>
      </c>
      <c r="I50" s="2" t="s">
        <v>130</v>
      </c>
      <c r="J50" s="2" t="s">
        <v>23</v>
      </c>
      <c r="K50" s="2" t="s">
        <v>24</v>
      </c>
      <c r="L50" s="2" t="s">
        <v>24</v>
      </c>
      <c r="M50" s="2" t="s">
        <v>25</v>
      </c>
      <c r="N50" s="2" t="s">
        <v>125</v>
      </c>
    </row>
    <row r="51" spans="1:14" ht="78" customHeight="1" x14ac:dyDescent="0.25">
      <c r="A51" s="2" t="s">
        <v>230</v>
      </c>
      <c r="B51" s="2" t="s">
        <v>120</v>
      </c>
      <c r="C51" s="2" t="s">
        <v>224</v>
      </c>
      <c r="D51" s="2" t="s">
        <v>231</v>
      </c>
      <c r="E51" s="2" t="s">
        <v>232</v>
      </c>
      <c r="F51" s="2" t="s">
        <v>35</v>
      </c>
      <c r="G51" s="2" t="s">
        <v>20</v>
      </c>
      <c r="H51" s="2" t="s">
        <v>21</v>
      </c>
      <c r="I51" s="2" t="s">
        <v>130</v>
      </c>
      <c r="J51" s="2" t="s">
        <v>23</v>
      </c>
      <c r="K51" s="2" t="s">
        <v>24</v>
      </c>
      <c r="L51" s="2" t="s">
        <v>24</v>
      </c>
      <c r="M51" s="2" t="s">
        <v>25</v>
      </c>
      <c r="N51" s="2" t="s">
        <v>125</v>
      </c>
    </row>
    <row r="52" spans="1:14" ht="78" customHeight="1" x14ac:dyDescent="0.25">
      <c r="A52" s="2" t="s">
        <v>233</v>
      </c>
      <c r="B52" s="2" t="s">
        <v>120</v>
      </c>
      <c r="C52" s="2" t="s">
        <v>100</v>
      </c>
      <c r="D52" s="2" t="s">
        <v>234</v>
      </c>
      <c r="E52" s="2" t="s">
        <v>235</v>
      </c>
      <c r="F52" s="2" t="s">
        <v>30</v>
      </c>
      <c r="G52" s="2" t="s">
        <v>20</v>
      </c>
      <c r="H52" s="2" t="s">
        <v>21</v>
      </c>
      <c r="I52" s="2" t="s">
        <v>168</v>
      </c>
      <c r="J52" s="2" t="s">
        <v>23</v>
      </c>
      <c r="K52" s="2" t="s">
        <v>24</v>
      </c>
      <c r="L52" s="2" t="s">
        <v>24</v>
      </c>
      <c r="M52" s="2" t="s">
        <v>25</v>
      </c>
      <c r="N52" s="2" t="s">
        <v>125</v>
      </c>
    </row>
    <row r="53" spans="1:14" ht="78" customHeight="1" x14ac:dyDescent="0.25">
      <c r="A53" s="2" t="s">
        <v>236</v>
      </c>
      <c r="B53" s="2" t="s">
        <v>120</v>
      </c>
      <c r="C53" s="2" t="s">
        <v>237</v>
      </c>
      <c r="D53" s="2" t="s">
        <v>238</v>
      </c>
      <c r="E53" s="2" t="s">
        <v>239</v>
      </c>
      <c r="F53" s="2" t="s">
        <v>30</v>
      </c>
      <c r="G53" s="2" t="s">
        <v>20</v>
      </c>
      <c r="H53" s="2" t="s">
        <v>21</v>
      </c>
      <c r="I53" s="2" t="s">
        <v>240</v>
      </c>
      <c r="J53" s="2" t="s">
        <v>23</v>
      </c>
      <c r="K53" s="2" t="s">
        <v>24</v>
      </c>
      <c r="L53" s="2" t="s">
        <v>24</v>
      </c>
      <c r="M53" s="2" t="s">
        <v>25</v>
      </c>
      <c r="N53" s="2" t="s">
        <v>125</v>
      </c>
    </row>
    <row r="54" spans="1:14" ht="78" customHeight="1" x14ac:dyDescent="0.25">
      <c r="A54" s="2" t="s">
        <v>241</v>
      </c>
      <c r="B54" s="2" t="s">
        <v>120</v>
      </c>
      <c r="C54" s="2" t="s">
        <v>237</v>
      </c>
      <c r="D54" s="2" t="s">
        <v>242</v>
      </c>
      <c r="E54" s="2" t="s">
        <v>243</v>
      </c>
      <c r="F54" s="2" t="s">
        <v>35</v>
      </c>
      <c r="G54" s="2" t="s">
        <v>20</v>
      </c>
      <c r="H54" s="2" t="s">
        <v>21</v>
      </c>
      <c r="I54" s="2" t="s">
        <v>240</v>
      </c>
      <c r="J54" s="2" t="s">
        <v>23</v>
      </c>
      <c r="K54" s="2" t="s">
        <v>24</v>
      </c>
      <c r="L54" s="2" t="s">
        <v>24</v>
      </c>
      <c r="M54" s="2" t="s">
        <v>25</v>
      </c>
      <c r="N54" s="2" t="s">
        <v>125</v>
      </c>
    </row>
    <row r="55" spans="1:14" ht="78" customHeight="1" x14ac:dyDescent="0.25">
      <c r="A55" s="2" t="s">
        <v>244</v>
      </c>
      <c r="B55" s="2" t="s">
        <v>120</v>
      </c>
      <c r="C55" s="2" t="s">
        <v>237</v>
      </c>
      <c r="D55" s="2" t="s">
        <v>245</v>
      </c>
      <c r="E55" s="2" t="s">
        <v>246</v>
      </c>
      <c r="F55" s="2" t="s">
        <v>35</v>
      </c>
      <c r="G55" s="2" t="s">
        <v>20</v>
      </c>
      <c r="H55" s="2" t="s">
        <v>21</v>
      </c>
      <c r="I55" s="2" t="s">
        <v>240</v>
      </c>
      <c r="J55" s="2" t="s">
        <v>23</v>
      </c>
      <c r="K55" s="2" t="s">
        <v>24</v>
      </c>
      <c r="L55" s="2" t="s">
        <v>24</v>
      </c>
      <c r="M55" s="2" t="s">
        <v>25</v>
      </c>
      <c r="N55" s="2" t="s">
        <v>125</v>
      </c>
    </row>
    <row r="56" spans="1:14" ht="78" customHeight="1" x14ac:dyDescent="0.25">
      <c r="A56" s="2" t="s">
        <v>247</v>
      </c>
      <c r="B56" s="2" t="s">
        <v>120</v>
      </c>
      <c r="C56" s="2" t="s">
        <v>248</v>
      </c>
      <c r="D56" s="2" t="s">
        <v>249</v>
      </c>
      <c r="E56" s="2" t="s">
        <v>250</v>
      </c>
      <c r="F56" s="2" t="s">
        <v>30</v>
      </c>
      <c r="G56" s="2" t="s">
        <v>20</v>
      </c>
      <c r="H56" s="2" t="s">
        <v>21</v>
      </c>
      <c r="I56" s="2" t="s">
        <v>130</v>
      </c>
      <c r="J56" s="2" t="s">
        <v>23</v>
      </c>
      <c r="K56" s="2" t="s">
        <v>24</v>
      </c>
      <c r="L56" s="2" t="s">
        <v>24</v>
      </c>
      <c r="M56" s="2" t="s">
        <v>25</v>
      </c>
      <c r="N56" s="2" t="s">
        <v>125</v>
      </c>
    </row>
    <row r="57" spans="1:14" ht="78" customHeight="1" x14ac:dyDescent="0.25">
      <c r="A57" s="2" t="s">
        <v>251</v>
      </c>
      <c r="B57" s="2" t="s">
        <v>120</v>
      </c>
      <c r="C57" s="2" t="s">
        <v>252</v>
      </c>
      <c r="D57" s="2" t="s">
        <v>253</v>
      </c>
      <c r="E57" s="2" t="s">
        <v>254</v>
      </c>
      <c r="F57" s="2" t="s">
        <v>30</v>
      </c>
      <c r="G57" s="2" t="s">
        <v>20</v>
      </c>
      <c r="H57" s="2" t="s">
        <v>21</v>
      </c>
      <c r="I57" s="2" t="s">
        <v>255</v>
      </c>
      <c r="J57" s="2" t="s">
        <v>23</v>
      </c>
      <c r="K57" s="2" t="s">
        <v>24</v>
      </c>
      <c r="L57" s="2" t="s">
        <v>24</v>
      </c>
      <c r="M57" s="2" t="s">
        <v>25</v>
      </c>
      <c r="N57" s="2" t="s">
        <v>125</v>
      </c>
    </row>
    <row r="58" spans="1:14" ht="78" customHeight="1" x14ac:dyDescent="0.25">
      <c r="A58" s="2" t="s">
        <v>256</v>
      </c>
      <c r="B58" s="2" t="s">
        <v>120</v>
      </c>
      <c r="C58" s="2" t="s">
        <v>252</v>
      </c>
      <c r="D58" s="2" t="s">
        <v>257</v>
      </c>
      <c r="E58" s="2" t="s">
        <v>258</v>
      </c>
      <c r="F58" s="2" t="s">
        <v>30</v>
      </c>
      <c r="G58" s="2" t="s">
        <v>20</v>
      </c>
      <c r="H58" s="2" t="s">
        <v>21</v>
      </c>
      <c r="I58" s="2" t="s">
        <v>255</v>
      </c>
      <c r="J58" s="2" t="s">
        <v>23</v>
      </c>
      <c r="K58" s="2" t="s">
        <v>24</v>
      </c>
      <c r="L58" s="2" t="s">
        <v>24</v>
      </c>
      <c r="M58" s="2" t="s">
        <v>25</v>
      </c>
      <c r="N58" s="2" t="s">
        <v>125</v>
      </c>
    </row>
    <row r="59" spans="1:14" ht="78" customHeight="1" x14ac:dyDescent="0.25">
      <c r="A59" s="2" t="s">
        <v>259</v>
      </c>
      <c r="B59" s="2" t="s">
        <v>120</v>
      </c>
      <c r="C59" s="2" t="s">
        <v>252</v>
      </c>
      <c r="D59" s="2" t="s">
        <v>260</v>
      </c>
      <c r="E59" s="2" t="s">
        <v>261</v>
      </c>
      <c r="F59" s="2" t="s">
        <v>30</v>
      </c>
      <c r="G59" s="2" t="s">
        <v>20</v>
      </c>
      <c r="H59" s="2" t="s">
        <v>21</v>
      </c>
      <c r="I59" s="2" t="s">
        <v>255</v>
      </c>
      <c r="J59" s="2" t="s">
        <v>23</v>
      </c>
      <c r="K59" s="2" t="s">
        <v>24</v>
      </c>
      <c r="L59" s="2" t="s">
        <v>24</v>
      </c>
      <c r="M59" s="2" t="s">
        <v>25</v>
      </c>
      <c r="N59" s="2" t="s">
        <v>125</v>
      </c>
    </row>
    <row r="60" spans="1:14" ht="78" customHeight="1" x14ac:dyDescent="0.25">
      <c r="A60" s="2" t="s">
        <v>262</v>
      </c>
      <c r="B60" s="2" t="s">
        <v>120</v>
      </c>
      <c r="C60" s="2" t="s">
        <v>252</v>
      </c>
      <c r="D60" s="2" t="s">
        <v>263</v>
      </c>
      <c r="E60" s="2" t="s">
        <v>264</v>
      </c>
      <c r="F60" s="2" t="s">
        <v>30</v>
      </c>
      <c r="G60" s="2" t="s">
        <v>20</v>
      </c>
      <c r="H60" s="2" t="s">
        <v>21</v>
      </c>
      <c r="I60" s="2" t="s">
        <v>255</v>
      </c>
      <c r="J60" s="2" t="s">
        <v>23</v>
      </c>
      <c r="K60" s="2" t="s">
        <v>24</v>
      </c>
      <c r="L60" s="2" t="s">
        <v>24</v>
      </c>
      <c r="M60" s="2" t="s">
        <v>25</v>
      </c>
      <c r="N60" s="2" t="s">
        <v>125</v>
      </c>
    </row>
    <row r="61" spans="1:14" ht="78" customHeight="1" x14ac:dyDescent="0.25">
      <c r="A61" s="2" t="s">
        <v>265</v>
      </c>
      <c r="B61" s="2" t="s">
        <v>120</v>
      </c>
      <c r="C61" s="2" t="s">
        <v>252</v>
      </c>
      <c r="D61" s="2" t="s">
        <v>266</v>
      </c>
      <c r="E61" s="2" t="s">
        <v>267</v>
      </c>
      <c r="F61" s="2" t="s">
        <v>35</v>
      </c>
      <c r="G61" s="2" t="s">
        <v>20</v>
      </c>
      <c r="H61" s="2" t="s">
        <v>21</v>
      </c>
      <c r="I61" s="2" t="s">
        <v>255</v>
      </c>
      <c r="J61" s="2" t="s">
        <v>23</v>
      </c>
      <c r="K61" s="2" t="s">
        <v>24</v>
      </c>
      <c r="L61" s="2" t="s">
        <v>24</v>
      </c>
      <c r="M61" s="2" t="s">
        <v>25</v>
      </c>
      <c r="N61" s="2" t="s">
        <v>125</v>
      </c>
    </row>
    <row r="62" spans="1:14" ht="78" customHeight="1" x14ac:dyDescent="0.25">
      <c r="A62" s="2" t="s">
        <v>268</v>
      </c>
      <c r="B62" s="2" t="s">
        <v>120</v>
      </c>
      <c r="C62" s="2" t="s">
        <v>252</v>
      </c>
      <c r="D62" s="2" t="s">
        <v>269</v>
      </c>
      <c r="E62" s="2" t="s">
        <v>270</v>
      </c>
      <c r="F62" s="2" t="s">
        <v>30</v>
      </c>
      <c r="G62" s="2" t="s">
        <v>20</v>
      </c>
      <c r="H62" s="2" t="s">
        <v>21</v>
      </c>
      <c r="I62" s="2" t="s">
        <v>255</v>
      </c>
      <c r="J62" s="2" t="s">
        <v>23</v>
      </c>
      <c r="K62" s="2" t="s">
        <v>24</v>
      </c>
      <c r="L62" s="2" t="s">
        <v>24</v>
      </c>
      <c r="M62" s="2" t="s">
        <v>25</v>
      </c>
      <c r="N62" s="2" t="s">
        <v>125</v>
      </c>
    </row>
    <row r="63" spans="1:14" ht="78" customHeight="1" x14ac:dyDescent="0.25">
      <c r="A63" s="2" t="s">
        <v>271</v>
      </c>
      <c r="B63" s="2" t="s">
        <v>120</v>
      </c>
      <c r="C63" s="2" t="s">
        <v>252</v>
      </c>
      <c r="D63" s="2" t="s">
        <v>272</v>
      </c>
      <c r="E63" s="2" t="s">
        <v>273</v>
      </c>
      <c r="F63" s="2" t="s">
        <v>30</v>
      </c>
      <c r="G63" s="2" t="s">
        <v>20</v>
      </c>
      <c r="H63" s="2" t="s">
        <v>21</v>
      </c>
      <c r="I63" s="2" t="s">
        <v>255</v>
      </c>
      <c r="J63" s="2" t="s">
        <v>23</v>
      </c>
      <c r="K63" s="2" t="s">
        <v>24</v>
      </c>
      <c r="L63" s="2" t="s">
        <v>24</v>
      </c>
      <c r="M63" s="2" t="s">
        <v>25</v>
      </c>
      <c r="N63" s="2" t="s">
        <v>125</v>
      </c>
    </row>
    <row r="64" spans="1:14" ht="78" customHeight="1" x14ac:dyDescent="0.25">
      <c r="A64" s="2" t="s">
        <v>274</v>
      </c>
      <c r="B64" s="2" t="s">
        <v>120</v>
      </c>
      <c r="C64" s="2" t="s">
        <v>252</v>
      </c>
      <c r="D64" s="2" t="s">
        <v>275</v>
      </c>
      <c r="E64" s="2" t="s">
        <v>276</v>
      </c>
      <c r="F64" s="2" t="s">
        <v>19</v>
      </c>
      <c r="G64" s="2" t="s">
        <v>20</v>
      </c>
      <c r="H64" s="2" t="s">
        <v>21</v>
      </c>
      <c r="I64" s="2" t="s">
        <v>255</v>
      </c>
      <c r="J64" s="2" t="s">
        <v>23</v>
      </c>
      <c r="K64" s="2" t="s">
        <v>24</v>
      </c>
      <c r="L64" s="2" t="s">
        <v>24</v>
      </c>
      <c r="M64" s="2" t="s">
        <v>25</v>
      </c>
      <c r="N64" s="2" t="s">
        <v>125</v>
      </c>
    </row>
    <row r="65" spans="1:14" ht="78" customHeight="1" x14ac:dyDescent="0.25">
      <c r="A65" s="2" t="s">
        <v>277</v>
      </c>
      <c r="B65" s="2" t="s">
        <v>120</v>
      </c>
      <c r="C65" s="2" t="s">
        <v>252</v>
      </c>
      <c r="D65" s="2" t="s">
        <v>278</v>
      </c>
      <c r="E65" s="2" t="s">
        <v>279</v>
      </c>
      <c r="F65" s="2" t="s">
        <v>30</v>
      </c>
      <c r="G65" s="2" t="s">
        <v>20</v>
      </c>
      <c r="H65" s="2" t="s">
        <v>21</v>
      </c>
      <c r="I65" s="2" t="s">
        <v>255</v>
      </c>
      <c r="J65" s="2" t="s">
        <v>23</v>
      </c>
      <c r="K65" s="2" t="s">
        <v>24</v>
      </c>
      <c r="L65" s="2" t="s">
        <v>24</v>
      </c>
      <c r="M65" s="2" t="s">
        <v>25</v>
      </c>
      <c r="N65" s="2" t="s">
        <v>125</v>
      </c>
    </row>
    <row r="66" spans="1:14" ht="78" customHeight="1" x14ac:dyDescent="0.25">
      <c r="A66" s="2" t="s">
        <v>280</v>
      </c>
      <c r="B66" s="2" t="s">
        <v>120</v>
      </c>
      <c r="C66" s="2" t="s">
        <v>252</v>
      </c>
      <c r="D66" s="2" t="s">
        <v>281</v>
      </c>
      <c r="E66" s="2" t="s">
        <v>282</v>
      </c>
      <c r="F66" s="2" t="s">
        <v>30</v>
      </c>
      <c r="G66" s="2" t="s">
        <v>20</v>
      </c>
      <c r="H66" s="2" t="s">
        <v>21</v>
      </c>
      <c r="I66" s="2" t="s">
        <v>255</v>
      </c>
      <c r="J66" s="2" t="s">
        <v>23</v>
      </c>
      <c r="K66" s="2" t="s">
        <v>24</v>
      </c>
      <c r="L66" s="2" t="s">
        <v>24</v>
      </c>
      <c r="M66" s="2" t="s">
        <v>25</v>
      </c>
      <c r="N66" s="2" t="s">
        <v>125</v>
      </c>
    </row>
    <row r="67" spans="1:14" ht="78" customHeight="1" x14ac:dyDescent="0.25">
      <c r="A67" s="2" t="s">
        <v>283</v>
      </c>
      <c r="B67" s="2" t="s">
        <v>120</v>
      </c>
      <c r="C67" s="2" t="s">
        <v>100</v>
      </c>
      <c r="D67" s="2" t="s">
        <v>284</v>
      </c>
      <c r="E67" s="2" t="s">
        <v>285</v>
      </c>
      <c r="F67" s="2" t="s">
        <v>19</v>
      </c>
      <c r="G67" s="2" t="s">
        <v>20</v>
      </c>
      <c r="H67" s="2" t="s">
        <v>21</v>
      </c>
      <c r="I67" s="2" t="s">
        <v>168</v>
      </c>
      <c r="J67" s="2" t="s">
        <v>23</v>
      </c>
      <c r="K67" s="2" t="s">
        <v>24</v>
      </c>
      <c r="L67" s="2" t="s">
        <v>24</v>
      </c>
      <c r="M67" s="2" t="s">
        <v>25</v>
      </c>
      <c r="N67" s="2" t="s">
        <v>125</v>
      </c>
    </row>
    <row r="68" spans="1:14" ht="78" customHeight="1" x14ac:dyDescent="0.25">
      <c r="A68" s="2" t="s">
        <v>286</v>
      </c>
      <c r="B68" s="2" t="s">
        <v>120</v>
      </c>
      <c r="C68" s="2" t="s">
        <v>100</v>
      </c>
      <c r="D68" s="2" t="s">
        <v>287</v>
      </c>
      <c r="E68" s="2" t="s">
        <v>288</v>
      </c>
      <c r="F68" s="2" t="s">
        <v>35</v>
      </c>
      <c r="G68" s="2" t="s">
        <v>20</v>
      </c>
      <c r="H68" s="2" t="s">
        <v>21</v>
      </c>
      <c r="I68" s="2" t="s">
        <v>168</v>
      </c>
      <c r="J68" s="2" t="s">
        <v>23</v>
      </c>
      <c r="K68" s="2" t="s">
        <v>24</v>
      </c>
      <c r="L68" s="2" t="s">
        <v>24</v>
      </c>
      <c r="M68" s="2" t="s">
        <v>25</v>
      </c>
      <c r="N68" s="2" t="s">
        <v>125</v>
      </c>
    </row>
    <row r="69" spans="1:14" ht="78" customHeight="1" x14ac:dyDescent="0.25">
      <c r="A69" s="2" t="s">
        <v>289</v>
      </c>
      <c r="B69" s="2" t="s">
        <v>120</v>
      </c>
      <c r="C69" s="2" t="s">
        <v>100</v>
      </c>
      <c r="D69" s="2" t="s">
        <v>290</v>
      </c>
      <c r="E69" s="2" t="s">
        <v>291</v>
      </c>
      <c r="F69" s="2" t="s">
        <v>19</v>
      </c>
      <c r="G69" s="2" t="s">
        <v>20</v>
      </c>
      <c r="H69" s="2" t="s">
        <v>21</v>
      </c>
      <c r="I69" s="2" t="s">
        <v>168</v>
      </c>
      <c r="J69" s="2" t="s">
        <v>23</v>
      </c>
      <c r="K69" s="2" t="s">
        <v>24</v>
      </c>
      <c r="L69" s="2" t="s">
        <v>24</v>
      </c>
      <c r="M69" s="2" t="s">
        <v>25</v>
      </c>
      <c r="N69" s="2" t="s">
        <v>125</v>
      </c>
    </row>
    <row r="70" spans="1:14" ht="78" customHeight="1" x14ac:dyDescent="0.25">
      <c r="A70" s="2" t="s">
        <v>292</v>
      </c>
      <c r="B70" s="2" t="s">
        <v>120</v>
      </c>
      <c r="C70" s="2" t="s">
        <v>293</v>
      </c>
      <c r="D70" s="2" t="s">
        <v>294</v>
      </c>
      <c r="E70" s="2" t="s">
        <v>295</v>
      </c>
      <c r="F70" s="2" t="s">
        <v>19</v>
      </c>
      <c r="G70" s="2" t="s">
        <v>20</v>
      </c>
      <c r="H70" s="2" t="s">
        <v>21</v>
      </c>
      <c r="I70" s="2" t="s">
        <v>296</v>
      </c>
      <c r="J70" s="2" t="s">
        <v>23</v>
      </c>
      <c r="K70" s="2" t="s">
        <v>24</v>
      </c>
      <c r="L70" s="2" t="s">
        <v>24</v>
      </c>
      <c r="M70" s="2" t="s">
        <v>25</v>
      </c>
      <c r="N70" s="2" t="s">
        <v>125</v>
      </c>
    </row>
    <row r="71" spans="1:14" ht="78" customHeight="1" x14ac:dyDescent="0.25">
      <c r="A71" s="2" t="s">
        <v>297</v>
      </c>
      <c r="B71" s="2" t="s">
        <v>298</v>
      </c>
      <c r="C71" s="2" t="s">
        <v>299</v>
      </c>
      <c r="D71" s="2" t="s">
        <v>300</v>
      </c>
      <c r="E71" s="2" t="s">
        <v>301</v>
      </c>
      <c r="F71" s="2" t="s">
        <v>30</v>
      </c>
      <c r="G71" s="2" t="s">
        <v>20</v>
      </c>
      <c r="H71" s="2" t="s">
        <v>21</v>
      </c>
      <c r="I71" s="2" t="s">
        <v>302</v>
      </c>
      <c r="J71" s="2" t="s">
        <v>23</v>
      </c>
      <c r="K71" s="2" t="s">
        <v>24</v>
      </c>
      <c r="L71" s="2" t="s">
        <v>24</v>
      </c>
      <c r="M71" s="2" t="s">
        <v>25</v>
      </c>
      <c r="N71" s="2"/>
    </row>
    <row r="72" spans="1:14" ht="78" customHeight="1" x14ac:dyDescent="0.25">
      <c r="A72" s="2" t="s">
        <v>303</v>
      </c>
      <c r="B72" s="2" t="s">
        <v>298</v>
      </c>
      <c r="C72" s="2" t="s">
        <v>304</v>
      </c>
      <c r="D72" s="2" t="s">
        <v>305</v>
      </c>
      <c r="E72" s="2" t="s">
        <v>306</v>
      </c>
      <c r="F72" s="2" t="s">
        <v>35</v>
      </c>
      <c r="G72" s="2" t="s">
        <v>20</v>
      </c>
      <c r="H72" s="2" t="s">
        <v>21</v>
      </c>
      <c r="I72" s="2" t="s">
        <v>307</v>
      </c>
      <c r="J72" s="2" t="s">
        <v>23</v>
      </c>
      <c r="K72" s="2" t="s">
        <v>24</v>
      </c>
      <c r="L72" s="2" t="s">
        <v>24</v>
      </c>
      <c r="M72" s="2" t="s">
        <v>25</v>
      </c>
      <c r="N72" s="2"/>
    </row>
    <row r="73" spans="1:14" ht="78" customHeight="1" x14ac:dyDescent="0.25">
      <c r="A73" s="2" t="s">
        <v>308</v>
      </c>
      <c r="B73" s="2" t="s">
        <v>298</v>
      </c>
      <c r="C73" s="2" t="s">
        <v>309</v>
      </c>
      <c r="D73" s="2" t="s">
        <v>310</v>
      </c>
      <c r="E73" s="2" t="s">
        <v>311</v>
      </c>
      <c r="F73" s="2" t="s">
        <v>30</v>
      </c>
      <c r="G73" s="2" t="s">
        <v>20</v>
      </c>
      <c r="H73" s="2" t="s">
        <v>21</v>
      </c>
      <c r="I73" s="2" t="s">
        <v>312</v>
      </c>
      <c r="J73" s="2" t="s">
        <v>23</v>
      </c>
      <c r="K73" s="2" t="s">
        <v>24</v>
      </c>
      <c r="L73" s="2" t="s">
        <v>24</v>
      </c>
      <c r="M73" s="2" t="s">
        <v>25</v>
      </c>
      <c r="N73" s="2"/>
    </row>
    <row r="74" spans="1:14" ht="78" customHeight="1" x14ac:dyDescent="0.25">
      <c r="A74" s="2" t="s">
        <v>313</v>
      </c>
      <c r="B74" s="2" t="s">
        <v>298</v>
      </c>
      <c r="C74" s="2" t="s">
        <v>314</v>
      </c>
      <c r="D74" s="2" t="s">
        <v>315</v>
      </c>
      <c r="E74" s="2" t="s">
        <v>316</v>
      </c>
      <c r="F74" s="2" t="s">
        <v>30</v>
      </c>
      <c r="G74" s="2" t="s">
        <v>20</v>
      </c>
      <c r="H74" s="2" t="s">
        <v>21</v>
      </c>
      <c r="I74" s="2" t="s">
        <v>317</v>
      </c>
      <c r="J74" s="2" t="s">
        <v>23</v>
      </c>
      <c r="K74" s="2" t="s">
        <v>24</v>
      </c>
      <c r="L74" s="2" t="s">
        <v>24</v>
      </c>
      <c r="M74" s="2" t="s">
        <v>25</v>
      </c>
      <c r="N74" s="2"/>
    </row>
    <row r="75" spans="1:14" ht="78" customHeight="1" x14ac:dyDescent="0.25">
      <c r="A75" s="2" t="s">
        <v>318</v>
      </c>
      <c r="B75" s="2" t="s">
        <v>298</v>
      </c>
      <c r="C75" s="2" t="s">
        <v>319</v>
      </c>
      <c r="D75" s="2" t="s">
        <v>320</v>
      </c>
      <c r="E75" s="2" t="s">
        <v>321</v>
      </c>
      <c r="F75" s="2" t="s">
        <v>19</v>
      </c>
      <c r="G75" s="2" t="s">
        <v>20</v>
      </c>
      <c r="H75" s="2" t="s">
        <v>21</v>
      </c>
      <c r="I75" s="2" t="s">
        <v>322</v>
      </c>
      <c r="J75" s="2" t="s">
        <v>23</v>
      </c>
      <c r="K75" s="2" t="s">
        <v>24</v>
      </c>
      <c r="L75" s="2" t="s">
        <v>24</v>
      </c>
      <c r="M75" s="2" t="s">
        <v>25</v>
      </c>
      <c r="N75" s="2"/>
    </row>
    <row r="76" spans="1:14" ht="78" customHeight="1" x14ac:dyDescent="0.25">
      <c r="A76" s="2" t="s">
        <v>323</v>
      </c>
      <c r="B76" s="2" t="s">
        <v>298</v>
      </c>
      <c r="C76" s="2" t="s">
        <v>319</v>
      </c>
      <c r="D76" s="2" t="s">
        <v>324</v>
      </c>
      <c r="E76" s="2" t="s">
        <v>325</v>
      </c>
      <c r="F76" s="2" t="s">
        <v>19</v>
      </c>
      <c r="G76" s="2" t="s">
        <v>20</v>
      </c>
      <c r="H76" s="2" t="s">
        <v>21</v>
      </c>
      <c r="I76" s="2" t="s">
        <v>326</v>
      </c>
      <c r="J76" s="2" t="s">
        <v>23</v>
      </c>
      <c r="K76" s="2" t="s">
        <v>24</v>
      </c>
      <c r="L76" s="2" t="s">
        <v>24</v>
      </c>
      <c r="M76" s="2" t="s">
        <v>25</v>
      </c>
      <c r="N76" s="2"/>
    </row>
    <row r="77" spans="1:14" ht="78" customHeight="1" x14ac:dyDescent="0.25">
      <c r="A77" s="2" t="s">
        <v>327</v>
      </c>
      <c r="B77" s="2" t="s">
        <v>298</v>
      </c>
      <c r="C77" s="2" t="s">
        <v>70</v>
      </c>
      <c r="D77" s="2" t="s">
        <v>328</v>
      </c>
      <c r="E77" s="2" t="s">
        <v>329</v>
      </c>
      <c r="F77" s="2" t="s">
        <v>30</v>
      </c>
      <c r="G77" s="2" t="s">
        <v>20</v>
      </c>
      <c r="H77" s="2" t="s">
        <v>21</v>
      </c>
      <c r="I77" s="2" t="s">
        <v>330</v>
      </c>
      <c r="J77" s="2" t="s">
        <v>23</v>
      </c>
      <c r="K77" s="2" t="s">
        <v>24</v>
      </c>
      <c r="L77" s="2" t="s">
        <v>24</v>
      </c>
      <c r="M77" s="2" t="s">
        <v>25</v>
      </c>
      <c r="N77" s="2"/>
    </row>
    <row r="78" spans="1:14" ht="78" customHeight="1" x14ac:dyDescent="0.25">
      <c r="A78" s="2" t="s">
        <v>331</v>
      </c>
      <c r="B78" s="2" t="s">
        <v>298</v>
      </c>
      <c r="C78" s="2" t="s">
        <v>332</v>
      </c>
      <c r="D78" s="2" t="s">
        <v>333</v>
      </c>
      <c r="E78" s="2" t="s">
        <v>334</v>
      </c>
      <c r="F78" s="2" t="s">
        <v>19</v>
      </c>
      <c r="G78" s="2" t="s">
        <v>20</v>
      </c>
      <c r="H78" s="2" t="s">
        <v>21</v>
      </c>
      <c r="I78" s="2" t="s">
        <v>335</v>
      </c>
      <c r="J78" s="2" t="s">
        <v>23</v>
      </c>
      <c r="K78" s="2" t="s">
        <v>24</v>
      </c>
      <c r="L78" s="2" t="s">
        <v>24</v>
      </c>
      <c r="M78" s="2" t="s">
        <v>25</v>
      </c>
      <c r="N78" s="2"/>
    </row>
    <row r="79" spans="1:14" ht="78" customHeight="1" x14ac:dyDescent="0.25">
      <c r="A79" s="2" t="s">
        <v>336</v>
      </c>
      <c r="B79" s="2" t="s">
        <v>337</v>
      </c>
      <c r="C79" s="2" t="s">
        <v>338</v>
      </c>
      <c r="D79" s="2" t="s">
        <v>339</v>
      </c>
      <c r="E79" s="2" t="s">
        <v>340</v>
      </c>
      <c r="F79" s="2" t="s">
        <v>19</v>
      </c>
      <c r="G79" s="2" t="s">
        <v>341</v>
      </c>
      <c r="H79" s="2" t="s">
        <v>141</v>
      </c>
      <c r="I79" s="2"/>
      <c r="J79" s="2" t="s">
        <v>24</v>
      </c>
      <c r="K79" s="2" t="s">
        <v>24</v>
      </c>
      <c r="L79" s="2" t="s">
        <v>24</v>
      </c>
      <c r="M79" s="2" t="s">
        <v>25</v>
      </c>
      <c r="N79" s="2" t="s">
        <v>342</v>
      </c>
    </row>
    <row r="80" spans="1:14" ht="78" customHeight="1" x14ac:dyDescent="0.25">
      <c r="A80" s="2" t="s">
        <v>343</v>
      </c>
      <c r="B80" s="2" t="s">
        <v>337</v>
      </c>
      <c r="C80" s="2" t="s">
        <v>344</v>
      </c>
      <c r="D80" s="2" t="s">
        <v>345</v>
      </c>
      <c r="E80" s="2" t="s">
        <v>346</v>
      </c>
      <c r="F80" s="2" t="s">
        <v>19</v>
      </c>
      <c r="G80" s="2" t="s">
        <v>20</v>
      </c>
      <c r="H80" s="2" t="s">
        <v>21</v>
      </c>
      <c r="I80" s="2"/>
      <c r="J80" s="2" t="s">
        <v>23</v>
      </c>
      <c r="K80" s="2" t="s">
        <v>24</v>
      </c>
      <c r="L80" s="2" t="s">
        <v>24</v>
      </c>
      <c r="M80" s="2" t="s">
        <v>25</v>
      </c>
      <c r="N80" s="2" t="s">
        <v>347</v>
      </c>
    </row>
    <row r="81" spans="1:14" ht="78" customHeight="1" x14ac:dyDescent="0.25">
      <c r="A81" s="2" t="s">
        <v>348</v>
      </c>
      <c r="B81" s="2" t="s">
        <v>337</v>
      </c>
      <c r="C81" s="2" t="s">
        <v>349</v>
      </c>
      <c r="D81" s="2" t="s">
        <v>350</v>
      </c>
      <c r="E81" s="2" t="s">
        <v>351</v>
      </c>
      <c r="F81" s="2" t="s">
        <v>19</v>
      </c>
      <c r="G81" s="2" t="s">
        <v>20</v>
      </c>
      <c r="H81" s="2" t="s">
        <v>21</v>
      </c>
      <c r="I81" s="2"/>
      <c r="J81" s="2" t="s">
        <v>23</v>
      </c>
      <c r="K81" s="2" t="s">
        <v>24</v>
      </c>
      <c r="L81" s="2" t="s">
        <v>24</v>
      </c>
      <c r="M81" s="2" t="s">
        <v>25</v>
      </c>
      <c r="N81" s="2" t="s">
        <v>352</v>
      </c>
    </row>
    <row r="82" spans="1:14" ht="78" customHeight="1" x14ac:dyDescent="0.25">
      <c r="A82" s="2" t="s">
        <v>353</v>
      </c>
      <c r="B82" s="2" t="s">
        <v>337</v>
      </c>
      <c r="C82" s="2" t="s">
        <v>354</v>
      </c>
      <c r="D82" s="2" t="s">
        <v>355</v>
      </c>
      <c r="E82" s="2" t="s">
        <v>356</v>
      </c>
      <c r="F82" s="2" t="s">
        <v>19</v>
      </c>
      <c r="G82" s="2" t="s">
        <v>20</v>
      </c>
      <c r="H82" s="2" t="s">
        <v>21</v>
      </c>
      <c r="I82" s="2"/>
      <c r="J82" s="2" t="s">
        <v>23</v>
      </c>
      <c r="K82" s="2" t="s">
        <v>24</v>
      </c>
      <c r="L82" s="2" t="s">
        <v>24</v>
      </c>
      <c r="M82" s="2" t="s">
        <v>25</v>
      </c>
      <c r="N82" s="2" t="s">
        <v>357</v>
      </c>
    </row>
    <row r="83" spans="1:14" ht="78" customHeight="1" x14ac:dyDescent="0.25">
      <c r="A83" s="2" t="s">
        <v>358</v>
      </c>
      <c r="B83" s="2" t="s">
        <v>337</v>
      </c>
      <c r="C83" s="2" t="s">
        <v>359</v>
      </c>
      <c r="D83" s="2" t="s">
        <v>360</v>
      </c>
      <c r="E83" s="2" t="s">
        <v>361</v>
      </c>
      <c r="F83" s="2" t="s">
        <v>19</v>
      </c>
      <c r="G83" s="2" t="s">
        <v>362</v>
      </c>
      <c r="H83" s="2" t="s">
        <v>21</v>
      </c>
      <c r="I83" s="2"/>
      <c r="J83" s="2" t="s">
        <v>24</v>
      </c>
      <c r="K83" s="2" t="s">
        <v>24</v>
      </c>
      <c r="L83" s="2" t="s">
        <v>24</v>
      </c>
      <c r="M83" s="2" t="s">
        <v>25</v>
      </c>
      <c r="N83" s="2" t="s">
        <v>363</v>
      </c>
    </row>
    <row r="84" spans="1:14" ht="78" customHeight="1" x14ac:dyDescent="0.25">
      <c r="A84" s="2" t="s">
        <v>364</v>
      </c>
      <c r="B84" s="2" t="s">
        <v>337</v>
      </c>
      <c r="C84" s="2" t="s">
        <v>365</v>
      </c>
      <c r="D84" s="2" t="s">
        <v>366</v>
      </c>
      <c r="E84" s="2" t="s">
        <v>367</v>
      </c>
      <c r="F84" s="2" t="s">
        <v>19</v>
      </c>
      <c r="G84" s="2" t="s">
        <v>20</v>
      </c>
      <c r="H84" s="2" t="s">
        <v>21</v>
      </c>
      <c r="I84" s="2"/>
      <c r="J84" s="2" t="s">
        <v>23</v>
      </c>
      <c r="K84" s="2" t="s">
        <v>24</v>
      </c>
      <c r="L84" s="2" t="s">
        <v>24</v>
      </c>
      <c r="M84" s="2" t="s">
        <v>25</v>
      </c>
      <c r="N84" s="2" t="s">
        <v>368</v>
      </c>
    </row>
    <row r="85" spans="1:14" ht="78" customHeight="1" x14ac:dyDescent="0.25">
      <c r="A85" s="2" t="s">
        <v>369</v>
      </c>
      <c r="B85" s="2" t="s">
        <v>337</v>
      </c>
      <c r="C85" s="2" t="s">
        <v>370</v>
      </c>
      <c r="D85" s="2" t="s">
        <v>371</v>
      </c>
      <c r="E85" s="2" t="s">
        <v>372</v>
      </c>
      <c r="F85" s="2" t="s">
        <v>19</v>
      </c>
      <c r="G85" s="2" t="s">
        <v>20</v>
      </c>
      <c r="H85" s="2" t="s">
        <v>21</v>
      </c>
      <c r="I85" s="2"/>
      <c r="J85" s="2" t="s">
        <v>23</v>
      </c>
      <c r="K85" s="2" t="s">
        <v>24</v>
      </c>
      <c r="L85" s="2" t="s">
        <v>24</v>
      </c>
      <c r="M85" s="2" t="s">
        <v>25</v>
      </c>
      <c r="N85" s="2" t="s">
        <v>373</v>
      </c>
    </row>
    <row r="86" spans="1:14" ht="78" customHeight="1" x14ac:dyDescent="0.25">
      <c r="A86" s="2" t="s">
        <v>374</v>
      </c>
      <c r="B86" s="2" t="s">
        <v>337</v>
      </c>
      <c r="C86" s="2" t="s">
        <v>375</v>
      </c>
      <c r="D86" s="2" t="s">
        <v>376</v>
      </c>
      <c r="E86" s="2" t="s">
        <v>377</v>
      </c>
      <c r="F86" s="2" t="s">
        <v>19</v>
      </c>
      <c r="G86" s="2" t="s">
        <v>362</v>
      </c>
      <c r="H86" s="2" t="s">
        <v>21</v>
      </c>
      <c r="I86" s="2"/>
      <c r="J86" s="2" t="s">
        <v>24</v>
      </c>
      <c r="K86" s="2" t="s">
        <v>24</v>
      </c>
      <c r="L86" s="2" t="s">
        <v>24</v>
      </c>
      <c r="M86" s="2" t="s">
        <v>25</v>
      </c>
      <c r="N86" s="2" t="s">
        <v>378</v>
      </c>
    </row>
    <row r="87" spans="1:14" ht="78" customHeight="1" x14ac:dyDescent="0.25">
      <c r="A87" s="2" t="s">
        <v>379</v>
      </c>
      <c r="B87" s="2" t="s">
        <v>337</v>
      </c>
      <c r="C87" s="2" t="s">
        <v>380</v>
      </c>
      <c r="D87" s="2" t="s">
        <v>381</v>
      </c>
      <c r="E87" s="2" t="s">
        <v>382</v>
      </c>
      <c r="F87" s="2" t="s">
        <v>19</v>
      </c>
      <c r="G87" s="2" t="s">
        <v>362</v>
      </c>
      <c r="H87" s="2" t="s">
        <v>21</v>
      </c>
      <c r="I87" s="2"/>
      <c r="J87" s="2" t="s">
        <v>24</v>
      </c>
      <c r="K87" s="2" t="s">
        <v>24</v>
      </c>
      <c r="L87" s="2" t="s">
        <v>24</v>
      </c>
      <c r="M87" s="2" t="s">
        <v>25</v>
      </c>
      <c r="N87" s="2" t="s">
        <v>383</v>
      </c>
    </row>
    <row r="88" spans="1:14" ht="78" customHeight="1" x14ac:dyDescent="0.25">
      <c r="A88" s="2" t="s">
        <v>384</v>
      </c>
      <c r="B88" s="2" t="s">
        <v>337</v>
      </c>
      <c r="C88" s="2" t="s">
        <v>385</v>
      </c>
      <c r="D88" s="2" t="s">
        <v>386</v>
      </c>
      <c r="E88" s="2" t="s">
        <v>387</v>
      </c>
      <c r="F88" s="2" t="s">
        <v>30</v>
      </c>
      <c r="G88" s="2" t="s">
        <v>20</v>
      </c>
      <c r="H88" s="2" t="s">
        <v>21</v>
      </c>
      <c r="I88" s="2"/>
      <c r="J88" s="2" t="s">
        <v>23</v>
      </c>
      <c r="K88" s="2" t="s">
        <v>24</v>
      </c>
      <c r="L88" s="2" t="s">
        <v>24</v>
      </c>
      <c r="M88" s="2" t="s">
        <v>25</v>
      </c>
      <c r="N88" s="2" t="s">
        <v>388</v>
      </c>
    </row>
    <row r="89" spans="1:14" ht="78" customHeight="1" x14ac:dyDescent="0.25">
      <c r="A89" s="2" t="s">
        <v>389</v>
      </c>
      <c r="B89" s="2" t="s">
        <v>337</v>
      </c>
      <c r="C89" s="2" t="s">
        <v>338</v>
      </c>
      <c r="D89" s="2" t="s">
        <v>390</v>
      </c>
      <c r="E89" s="2" t="s">
        <v>391</v>
      </c>
      <c r="F89" s="2" t="s">
        <v>30</v>
      </c>
      <c r="G89" s="2" t="s">
        <v>20</v>
      </c>
      <c r="H89" s="2" t="s">
        <v>21</v>
      </c>
      <c r="I89" s="2"/>
      <c r="J89" s="2" t="s">
        <v>23</v>
      </c>
      <c r="K89" s="2" t="s">
        <v>24</v>
      </c>
      <c r="L89" s="2" t="s">
        <v>24</v>
      </c>
      <c r="M89" s="2" t="s">
        <v>25</v>
      </c>
      <c r="N89" s="2" t="s">
        <v>392</v>
      </c>
    </row>
  </sheetData>
  <conditionalFormatting sqref="G2:G89">
    <cfRule type="cellIs" dxfId="14" priority="1" stopIfTrue="1" operator="equal">
      <formula>"Source Complete - Device Pending"</formula>
    </cfRule>
    <cfRule type="cellIs" dxfId="13" priority="2" stopIfTrue="1" operator="equal">
      <formula>"Complete (Non-Code)"</formula>
    </cfRule>
    <cfRule type="cellIs" dxfId="12" priority="3" stopIfTrue="1" operator="equal">
      <formula>"Accepted on Device"</formula>
    </cfRule>
    <cfRule type="cellIs" dxfId="11" priority="4" stopIfTrue="1" operator="equal">
      <formula>"Partial"</formula>
    </cfRule>
    <cfRule type="cellIs" dxfId="10" priority="5" stopIfTrue="1" operator="equal">
      <formula>"Not Started"</formula>
    </cfRule>
    <cfRule type="cellIs" dxfId="9" priority="6" stopIfTrue="1" operator="equal">
      <formula>"Decision / Constraint"</formula>
    </cfRule>
  </conditionalFormatting>
  <conditionalFormatting sqref="J2:J89">
    <cfRule type="cellIs" dxfId="8" priority="7" stopIfTrue="1" operator="equal">
      <formula>"Pending"</formula>
    </cfRule>
    <cfRule type="cellIs" dxfId="7" priority="8" stopIfTrue="1" operator="equal">
      <formula>"Passed"</formula>
    </cfRule>
    <cfRule type="cellIs" dxfId="6" priority="9" stopIfTrue="1" operator="equal">
      <formula>"Failed"</formula>
    </cfRule>
  </conditionalFormatting>
  <conditionalFormatting sqref="K2:K89">
    <cfRule type="cellIs" dxfId="5" priority="10" stopIfTrue="1" operator="equal">
      <formula>"Pending"</formula>
    </cfRule>
    <cfRule type="cellIs" dxfId="4" priority="11" stopIfTrue="1" operator="equal">
      <formula>"Passed"</formula>
    </cfRule>
    <cfRule type="cellIs" dxfId="3" priority="12" stopIfTrue="1" operator="equal">
      <formula>"Failed"</formula>
    </cfRule>
  </conditionalFormatting>
  <conditionalFormatting sqref="L2:L89">
    <cfRule type="cellIs" dxfId="2" priority="13" stopIfTrue="1" operator="equal">
      <formula>"Pending"</formula>
    </cfRule>
    <cfRule type="cellIs" dxfId="1" priority="14" stopIfTrue="1" operator="equal">
      <formula>"Passed"</formula>
    </cfRule>
    <cfRule type="cellIs" dxfId="0" priority="15" stopIfTrue="1" operator="equal">
      <formula>"Failed"</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Sources and Rules</vt:lpstr>
      <vt:lpstr>Dashboard</vt:lpstr>
      <vt:lpstr>Implementation 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Sajjad Zaheer</dc:creator>
  <cp:lastModifiedBy>Sajjad Zaheer</cp:lastModifiedBy>
  <dcterms:created xsi:type="dcterms:W3CDTF">2026-08-20T07:40:16Z</dcterms:created>
  <dcterms:modified xsi:type="dcterms:W3CDTF">2026-08-20T07:40:27Z</dcterms:modified>
</cp:coreProperties>
</file>